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1"/>
  </bookViews>
  <sheets>
    <sheet name="费用表【市出资部分】" sheetId="1" state="hidden" r:id="rId1"/>
    <sheet name="分部分项" sheetId="4" r:id="rId2"/>
    <sheet name="措施项目" sheetId="27" r:id="rId3"/>
    <sheet name="增值税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<sst xmlns="http://schemas.openxmlformats.org/spreadsheetml/2006/main" count="2154" uniqueCount="1113">
  <si>
    <t>费  用  表</t>
  </si>
  <si>
    <t xml:space="preserve"> 工程名称：南北通道浦西段和越江段新建工程2标\市出资部分</t>
  </si>
  <si>
    <t xml:space="preserve">第 1 页  共 1 页 </t>
  </si>
  <si>
    <t>序号</t>
  </si>
  <si>
    <t>费用名称</t>
  </si>
  <si>
    <t>基 数 说 明</t>
  </si>
  <si>
    <t>费率(%)</t>
  </si>
  <si>
    <t>金 额</t>
  </si>
  <si>
    <t>1</t>
  </si>
  <si>
    <t>分部分项</t>
  </si>
  <si>
    <t>1.1</t>
  </si>
  <si>
    <t xml:space="preserve">  四平路工作井-临平路工作井主线</t>
  </si>
  <si>
    <t>1.2</t>
  </si>
  <si>
    <t xml:space="preserve">  四平路出口匝道</t>
  </si>
  <si>
    <t>1.3</t>
  </si>
  <si>
    <t xml:space="preserve">  周家嘴路进出口匝道</t>
  </si>
  <si>
    <t>1.4</t>
  </si>
  <si>
    <t xml:space="preserve">  四平路工作井</t>
  </si>
  <si>
    <t>1.5</t>
  </si>
  <si>
    <t xml:space="preserve">  临平路工作井</t>
  </si>
  <si>
    <t>1.6</t>
  </si>
  <si>
    <t xml:space="preserve">  地下道路铺装</t>
  </si>
  <si>
    <t>1.7</t>
  </si>
  <si>
    <t xml:space="preserve">  地面道路</t>
  </si>
  <si>
    <t>1.8</t>
  </si>
  <si>
    <t xml:space="preserve">  雨水（合流）工程</t>
  </si>
  <si>
    <t>1.9</t>
  </si>
  <si>
    <t xml:space="preserve">  污水工程</t>
  </si>
  <si>
    <t>1.10</t>
  </si>
  <si>
    <t xml:space="preserve">  沙泾港防汛墙</t>
  </si>
  <si>
    <t>1.11</t>
  </si>
  <si>
    <t xml:space="preserve">  人防工程</t>
  </si>
  <si>
    <t>2</t>
  </si>
  <si>
    <t>措施项目费</t>
  </si>
  <si>
    <t xml:space="preserve">  措施项目清单费用+其他项目合计+增值税</t>
  </si>
  <si>
    <t>2.1</t>
  </si>
  <si>
    <t xml:space="preserve">  措施项目清单费用</t>
  </si>
  <si>
    <t xml:space="preserve">  措施项目合计</t>
  </si>
  <si>
    <t>2.2</t>
  </si>
  <si>
    <t xml:space="preserve">  其他项目合计</t>
  </si>
  <si>
    <t xml:space="preserve">  增值税</t>
  </si>
  <si>
    <t xml:space="preserve">  措施项目清单费用+其他项目合计</t>
  </si>
  <si>
    <t xml:space="preserve">  工程总造价</t>
  </si>
  <si>
    <t xml:space="preserve">  单位工程费合计+单项工程费用合计</t>
  </si>
  <si>
    <t>增值税</t>
  </si>
  <si>
    <t>分部分项工程和单价措施项目清单与计价表</t>
  </si>
  <si>
    <t>四平路工作井-临平路工作井主线</t>
  </si>
  <si>
    <t>项目编码</t>
  </si>
  <si>
    <t>项目名称</t>
  </si>
  <si>
    <t>计量
单位</t>
  </si>
  <si>
    <t>工程量</t>
  </si>
  <si>
    <t>金 额(元)</t>
  </si>
  <si>
    <t>综合单价</t>
  </si>
  <si>
    <t>合 价</t>
  </si>
  <si>
    <t>围护结构</t>
  </si>
  <si>
    <t xml:space="preserve"> 040302003001</t>
  </si>
  <si>
    <t xml:space="preserve">  地下连续墙1200厚</t>
  </si>
  <si>
    <t>m3</t>
  </si>
  <si>
    <t>162238358.87</t>
  </si>
  <si>
    <t xml:space="preserve"> 040302003002</t>
  </si>
  <si>
    <t xml:space="preserve">  地下连续墙1200厚（＞70m）</t>
  </si>
  <si>
    <t xml:space="preserve"> 040302003003</t>
  </si>
  <si>
    <t xml:space="preserve">  地下连续墙1200厚（封堵）</t>
  </si>
  <si>
    <t xml:space="preserve"> 040302003004</t>
  </si>
  <si>
    <t xml:space="preserve">  地下连续墙1200厚（封堵、＞70m）</t>
  </si>
  <si>
    <t xml:space="preserve"> 040302003005</t>
  </si>
  <si>
    <t xml:space="preserve">  地下连续墙1000厚</t>
  </si>
  <si>
    <t xml:space="preserve"> 040901004001</t>
  </si>
  <si>
    <t xml:space="preserve">  地下连续墙钢筋笼</t>
  </si>
  <si>
    <t>t</t>
  </si>
  <si>
    <t>153056286.22</t>
  </si>
  <si>
    <t xml:space="preserve"> 040302005001</t>
  </si>
  <si>
    <t xml:space="preserve">  三轴搅拌桩槽壁加固</t>
  </si>
  <si>
    <t xml:space="preserve"> 040201015001</t>
  </si>
  <si>
    <t xml:space="preserve">  围护N-jet止水</t>
  </si>
  <si>
    <t>50405163.56</t>
  </si>
  <si>
    <t xml:space="preserve"> 040201015002</t>
  </si>
  <si>
    <t xml:space="preserve">  围护RJP止水</t>
  </si>
  <si>
    <t>27609157.38</t>
  </si>
  <si>
    <t xml:space="preserve"> 040201015003</t>
  </si>
  <si>
    <t xml:space="preserve">  MJS止水帷幕</t>
  </si>
  <si>
    <t xml:space="preserve"> 040302005002</t>
  </si>
  <si>
    <t xml:space="preserve">  SMW水泥土搅拌墙</t>
  </si>
  <si>
    <t xml:space="preserve"> 040302005003</t>
  </si>
  <si>
    <t xml:space="preserve">  SMW工法桩型钢</t>
  </si>
  <si>
    <t xml:space="preserve"> 040302005004</t>
  </si>
  <si>
    <t xml:space="preserve">  TRD止水帷幕850mm</t>
  </si>
  <si>
    <t xml:space="preserve"> 040301004001</t>
  </si>
  <si>
    <t xml:space="preserve">  φ1000钻孔灌注隔离桩C35水下</t>
  </si>
  <si>
    <t>m</t>
  </si>
  <si>
    <t xml:space="preserve"> 040901004002</t>
  </si>
  <si>
    <t xml:space="preserve">  灌注桩钢筋笼</t>
  </si>
  <si>
    <t>围护结构小计</t>
  </si>
  <si>
    <t>517596326.79</t>
  </si>
  <si>
    <t>地基加固</t>
  </si>
  <si>
    <t xml:space="preserve"> 040201015004</t>
  </si>
  <si>
    <t xml:space="preserve">  高压水泥旋喷桩</t>
  </si>
  <si>
    <t>47457410.49</t>
  </si>
  <si>
    <t xml:space="preserve"> 040201013001</t>
  </si>
  <si>
    <t xml:space="preserve">  三轴水泥搅拌桩</t>
  </si>
  <si>
    <t>15394706.97</t>
  </si>
  <si>
    <t xml:space="preserve"> 040201013002</t>
  </si>
  <si>
    <t xml:space="preserve">  四轴水泥搅拌桩</t>
  </si>
  <si>
    <t>13585814.86</t>
  </si>
  <si>
    <t xml:space="preserve"> 040201015005</t>
  </si>
  <si>
    <t xml:space="preserve">  坑外高压喷射注浆MJS</t>
  </si>
  <si>
    <t>地基加固小计</t>
  </si>
  <si>
    <t>77238981.76</t>
  </si>
  <si>
    <t>基坑支撑、土方开挖</t>
  </si>
  <si>
    <t xml:space="preserve"> 沪040302013001</t>
  </si>
  <si>
    <t xml:space="preserve">  钢砼顶圈梁C30（含拆除）</t>
  </si>
  <si>
    <t xml:space="preserve"> 沪040302013002</t>
  </si>
  <si>
    <t xml:space="preserve">  钢砼围檩、支撑C30（含拆除）</t>
  </si>
  <si>
    <t xml:space="preserve"> 沪040302013003</t>
  </si>
  <si>
    <t xml:space="preserve">  钢砼围檩、支撑C35（含拆除）</t>
  </si>
  <si>
    <t>27433724.51</t>
  </si>
  <si>
    <t xml:space="preserve"> 沪040302013004</t>
  </si>
  <si>
    <t xml:space="preserve">  钢砼围檩、支撑C40（含拆除）</t>
  </si>
  <si>
    <t>14378453.21</t>
  </si>
  <si>
    <t xml:space="preserve"> 040103002001</t>
  </si>
  <si>
    <t xml:space="preserve">  余方弃置</t>
  </si>
  <si>
    <t xml:space="preserve"> 040901001001</t>
  </si>
  <si>
    <t xml:space="preserve">  混凝土支撑体系钢筋（含拆除）</t>
  </si>
  <si>
    <t>52532874.06</t>
  </si>
  <si>
    <t xml:space="preserve"> 沪040302013005</t>
  </si>
  <si>
    <t xml:space="preserve">  混凝土围檩、支撑C40</t>
  </si>
  <si>
    <t xml:space="preserve"> 040901001002</t>
  </si>
  <si>
    <t xml:space="preserve">  混凝土围檩、支撑</t>
  </si>
  <si>
    <t xml:space="preserve"> 040301004002</t>
  </si>
  <si>
    <t xml:space="preserve">  φ1000灌注桩（立柱桩)C35水下</t>
  </si>
  <si>
    <t xml:space="preserve"> 040901004003</t>
  </si>
  <si>
    <t xml:space="preserve"> 沪040302014001</t>
  </si>
  <si>
    <t xml:space="preserve">  格构柱</t>
  </si>
  <si>
    <t>20812207.32</t>
  </si>
  <si>
    <t xml:space="preserve"> 沪040302014002</t>
  </si>
  <si>
    <t xml:space="preserve">  钢围檩、支撑</t>
  </si>
  <si>
    <t>12089651.07</t>
  </si>
  <si>
    <t xml:space="preserve"> 040101001001</t>
  </si>
  <si>
    <t xml:space="preserve">  基坑开挖</t>
  </si>
  <si>
    <t>27767193.31</t>
  </si>
  <si>
    <t xml:space="preserve"> 040103001001</t>
  </si>
  <si>
    <t xml:space="preserve">  回填方</t>
  </si>
  <si>
    <t xml:space="preserve"> 040103002002</t>
  </si>
  <si>
    <t>30100383.85</t>
  </si>
  <si>
    <t xml:space="preserve"> 041107001001</t>
  </si>
  <si>
    <t xml:space="preserve">  基坑降水</t>
  </si>
  <si>
    <t>项</t>
  </si>
  <si>
    <t>基坑支撑、土方开挖小计</t>
  </si>
  <si>
    <t>229139255.99</t>
  </si>
  <si>
    <t>桩基工程</t>
  </si>
  <si>
    <t xml:space="preserve"> 040301004003</t>
  </si>
  <si>
    <t xml:space="preserve">  φ1000灌注桩（工程桩)C35水下</t>
  </si>
  <si>
    <t xml:space="preserve"> 040901004004</t>
  </si>
  <si>
    <t>桩基工程小计</t>
  </si>
  <si>
    <t>主体结构</t>
  </si>
  <si>
    <t xml:space="preserve"> 040406002001</t>
  </si>
  <si>
    <t xml:space="preserve">  混凝土底板C35</t>
  </si>
  <si>
    <t>17383919.24</t>
  </si>
  <si>
    <t xml:space="preserve"> 040901001003</t>
  </si>
  <si>
    <t xml:space="preserve">  底板钢筋</t>
  </si>
  <si>
    <t>26518307.14</t>
  </si>
  <si>
    <t xml:space="preserve"> 040406003001</t>
  </si>
  <si>
    <t xml:space="preserve">  混凝土柱 C35</t>
  </si>
  <si>
    <t xml:space="preserve"> 040901001004</t>
  </si>
  <si>
    <t xml:space="preserve">  柱钢筋</t>
  </si>
  <si>
    <t xml:space="preserve"> 040406004001</t>
  </si>
  <si>
    <t xml:space="preserve">  混凝土墙（内衬墙）C35</t>
  </si>
  <si>
    <t>18098317.44</t>
  </si>
  <si>
    <t xml:space="preserve"> 040901001005</t>
  </si>
  <si>
    <t xml:space="preserve">  内衬墙钢筋</t>
  </si>
  <si>
    <t>34851464.48</t>
  </si>
  <si>
    <t xml:space="preserve"> 040406004002</t>
  </si>
  <si>
    <t xml:space="preserve">  混凝土墙（隔墙）C35</t>
  </si>
  <si>
    <t xml:space="preserve"> 040901001006</t>
  </si>
  <si>
    <t xml:space="preserve">  隔墙钢筋</t>
  </si>
  <si>
    <t xml:space="preserve"> 040406006001</t>
  </si>
  <si>
    <t xml:space="preserve">  混凝土顶板C35</t>
  </si>
  <si>
    <t>14624394.35</t>
  </si>
  <si>
    <t xml:space="preserve"> 040901001007</t>
  </si>
  <si>
    <t xml:space="preserve">  顶板钢筋</t>
  </si>
  <si>
    <t>20830290.84</t>
  </si>
  <si>
    <t xml:space="preserve"> 040406006002</t>
  </si>
  <si>
    <t xml:space="preserve">  混凝土中层板C35</t>
  </si>
  <si>
    <t>34273744.57</t>
  </si>
  <si>
    <t xml:space="preserve"> 040901001008</t>
  </si>
  <si>
    <t xml:space="preserve">  中层板钢筋</t>
  </si>
  <si>
    <t xml:space="preserve"> 040303017001</t>
  </si>
  <si>
    <t xml:space="preserve">  混凝土楼梯C35</t>
  </si>
  <si>
    <t xml:space="preserve"> 040901001009</t>
  </si>
  <si>
    <t xml:space="preserve">  楼梯钢筋</t>
  </si>
  <si>
    <t xml:space="preserve"> 040406008001</t>
  </si>
  <si>
    <t xml:space="preserve">  现浇防撞侧石砼 C30</t>
  </si>
  <si>
    <t xml:space="preserve"> 040901001010</t>
  </si>
  <si>
    <t xml:space="preserve">  防撞侧石钢筋</t>
  </si>
  <si>
    <t xml:space="preserve"> 040303001001</t>
  </si>
  <si>
    <t xml:space="preserve">  混凝土回填C30</t>
  </si>
  <si>
    <t xml:space="preserve"> 040901009001</t>
  </si>
  <si>
    <t xml:space="preserve">  预埋件</t>
  </si>
  <si>
    <t xml:space="preserve"> 040406004003</t>
  </si>
  <si>
    <t xml:space="preserve">  混凝土墙C35（施工阶段隔墙、含拆除）</t>
  </si>
  <si>
    <t xml:space="preserve"> 040901001011</t>
  </si>
  <si>
    <t xml:space="preserve">  钢筋 施工阶段隔墙（含拆除）</t>
  </si>
  <si>
    <t xml:space="preserve"> 040406004004</t>
  </si>
  <si>
    <t xml:space="preserve">  混凝土角撑C35（含拆除）</t>
  </si>
  <si>
    <t xml:space="preserve"> 040901001012</t>
  </si>
  <si>
    <t xml:space="preserve">  钢筋 角撑（含拆除）</t>
  </si>
  <si>
    <t xml:space="preserve"> 040406004005</t>
  </si>
  <si>
    <t xml:space="preserve">  临时封堵墙及挡墙 C35（含拆除）</t>
  </si>
  <si>
    <t xml:space="preserve"> 040901001013</t>
  </si>
  <si>
    <t xml:space="preserve">  钢筋 临时封堵墙、挡墙（含拆除）</t>
  </si>
  <si>
    <t xml:space="preserve"> 040103002003</t>
  </si>
  <si>
    <t>主体结构小计</t>
  </si>
  <si>
    <t>234843458.23</t>
  </si>
  <si>
    <t>防水工程</t>
  </si>
  <si>
    <t xml:space="preserve"> 040402019001</t>
  </si>
  <si>
    <t xml:space="preserve">  底板防水卷材</t>
  </si>
  <si>
    <t>m2</t>
  </si>
  <si>
    <t xml:space="preserve"> 040402019002</t>
  </si>
  <si>
    <t xml:space="preserve">  侧墙防水涂料</t>
  </si>
  <si>
    <t xml:space="preserve"> 040402019003</t>
  </si>
  <si>
    <t xml:space="preserve">  顶板防水层</t>
  </si>
  <si>
    <t xml:space="preserve"> 040402017001</t>
  </si>
  <si>
    <t xml:space="preserve">  变形缝</t>
  </si>
  <si>
    <t>防水工程小计</t>
  </si>
  <si>
    <t>清障</t>
  </si>
  <si>
    <t xml:space="preserve"> 沪041001012001</t>
  </si>
  <si>
    <t xml:space="preserve">  清障 地下排水系统</t>
  </si>
  <si>
    <t>清障小计</t>
  </si>
  <si>
    <t>压力井</t>
  </si>
  <si>
    <t xml:space="preserve"> 040504002001</t>
  </si>
  <si>
    <t xml:space="preserve">  Ⅰ型钢砼压力井1000*1000</t>
  </si>
  <si>
    <t>座</t>
  </si>
  <si>
    <t xml:space="preserve"> 040504002002</t>
  </si>
  <si>
    <t xml:space="preserve">  Ⅱ型钢砼压力井1500*1500</t>
  </si>
  <si>
    <t>压力井小计</t>
  </si>
  <si>
    <t>合    计</t>
  </si>
  <si>
    <t>1093496377.2</t>
  </si>
  <si>
    <t>四平路出口匝道</t>
  </si>
  <si>
    <t xml:space="preserve"> 040301004004</t>
  </si>
  <si>
    <t xml:space="preserve">  φ800钻孔灌注桩C30水下</t>
  </si>
  <si>
    <t xml:space="preserve"> 040301004005</t>
  </si>
  <si>
    <t xml:space="preserve">  φ900钻孔灌注桩C30水下</t>
  </si>
  <si>
    <t xml:space="preserve"> 040901004005</t>
  </si>
  <si>
    <t xml:space="preserve"> 040302008001</t>
  </si>
  <si>
    <t xml:space="preserve">  桩间喷射混凝土100mm</t>
  </si>
  <si>
    <t xml:space="preserve"> 040901001014</t>
  </si>
  <si>
    <t xml:space="preserve">  现浇构件钢筋 挂网</t>
  </si>
  <si>
    <t xml:space="preserve"> 040302005005</t>
  </si>
  <si>
    <t xml:space="preserve">  三轴搅拌桩止水帷幕</t>
  </si>
  <si>
    <t xml:space="preserve"> 040302005006</t>
  </si>
  <si>
    <t xml:space="preserve"> 040302005007</t>
  </si>
  <si>
    <t xml:space="preserve"> 040201015006</t>
  </si>
  <si>
    <t xml:space="preserve">  高压水泥旋喷桩止水φ800</t>
  </si>
  <si>
    <t xml:space="preserve"> 沪040302010001</t>
  </si>
  <si>
    <t xml:space="preserve">  拉森钢板桩</t>
  </si>
  <si>
    <t xml:space="preserve"> 040201013004</t>
  </si>
  <si>
    <t xml:space="preserve">  深层水泥搅拌桩</t>
  </si>
  <si>
    <t xml:space="preserve"> 040201013005</t>
  </si>
  <si>
    <t xml:space="preserve">  φ850@600三轴搅拌桩重力坝</t>
  </si>
  <si>
    <t xml:space="preserve"> 沪040302013006</t>
  </si>
  <si>
    <t xml:space="preserve"> 040103002004</t>
  </si>
  <si>
    <t xml:space="preserve"> 040901001015</t>
  </si>
  <si>
    <t xml:space="preserve">  混凝土支撑体系钢筋 （含拆除）</t>
  </si>
  <si>
    <t xml:space="preserve"> 沪040302014003</t>
  </si>
  <si>
    <t xml:space="preserve"> 040301004006</t>
  </si>
  <si>
    <t xml:space="preserve">  φ800灌注桩（立柱桩)C30水下</t>
  </si>
  <si>
    <t xml:space="preserve"> 040901004006</t>
  </si>
  <si>
    <t xml:space="preserve"> 沪040302014004</t>
  </si>
  <si>
    <t xml:space="preserve"> 040101001002</t>
  </si>
  <si>
    <t xml:space="preserve"> 040103001002</t>
  </si>
  <si>
    <t xml:space="preserve"> 040103002005</t>
  </si>
  <si>
    <t xml:space="preserve"> 041107001002</t>
  </si>
  <si>
    <t xml:space="preserve"> 040301004007</t>
  </si>
  <si>
    <t xml:space="preserve">  φ800灌注桩（工程桩)C35水下</t>
  </si>
  <si>
    <t xml:space="preserve"> 040901004007</t>
  </si>
  <si>
    <t>钢筋混凝土结构</t>
  </si>
  <si>
    <t xml:space="preserve"> 040406002002</t>
  </si>
  <si>
    <t xml:space="preserve"> 040901001016</t>
  </si>
  <si>
    <t xml:space="preserve"> 040406004006</t>
  </si>
  <si>
    <t xml:space="preserve"> 040901001017</t>
  </si>
  <si>
    <t xml:space="preserve"> 040406004007</t>
  </si>
  <si>
    <t xml:space="preserve"> 040901001018</t>
  </si>
  <si>
    <t xml:space="preserve"> 040406006003</t>
  </si>
  <si>
    <t xml:space="preserve"> 040901001019</t>
  </si>
  <si>
    <t xml:space="preserve"> 040406006004</t>
  </si>
  <si>
    <t xml:space="preserve"> 040901001020</t>
  </si>
  <si>
    <t xml:space="preserve"> 040406008002</t>
  </si>
  <si>
    <t xml:space="preserve"> 040901001021</t>
  </si>
  <si>
    <t xml:space="preserve"> 040901009002</t>
  </si>
  <si>
    <t xml:space="preserve"> 040406004008</t>
  </si>
  <si>
    <t xml:space="preserve"> 040901001022</t>
  </si>
  <si>
    <t xml:space="preserve"> 040103002006</t>
  </si>
  <si>
    <t>钢筋混凝土结构小计</t>
  </si>
  <si>
    <t xml:space="preserve"> 040402019004</t>
  </si>
  <si>
    <t xml:space="preserve"> 040402019005</t>
  </si>
  <si>
    <t xml:space="preserve"> 040402019006</t>
  </si>
  <si>
    <t xml:space="preserve"> 040402017002</t>
  </si>
  <si>
    <t>25842554.86</t>
  </si>
  <si>
    <t>周家嘴路进出口匝道</t>
  </si>
  <si>
    <t xml:space="preserve"> 040302003006</t>
  </si>
  <si>
    <t xml:space="preserve">  地下连续墙800厚</t>
  </si>
  <si>
    <t>16331552.25</t>
  </si>
  <si>
    <t xml:space="preserve"> 040901004008</t>
  </si>
  <si>
    <t>13642939.68</t>
  </si>
  <si>
    <t xml:space="preserve"> 040302005008</t>
  </si>
  <si>
    <t xml:space="preserve"> 040301004008</t>
  </si>
  <si>
    <t xml:space="preserve">  φ1000钻孔灌注桩C30水下</t>
  </si>
  <si>
    <t xml:space="preserve"> 040302004001</t>
  </si>
  <si>
    <t xml:space="preserve">  φ1000咬合灌注桩</t>
  </si>
  <si>
    <t xml:space="preserve"> 040901004009</t>
  </si>
  <si>
    <t xml:space="preserve"> 040302005009</t>
  </si>
  <si>
    <t xml:space="preserve"> 040302005010</t>
  </si>
  <si>
    <t xml:space="preserve"> 040302005011</t>
  </si>
  <si>
    <t xml:space="preserve"> 040201015007</t>
  </si>
  <si>
    <t xml:space="preserve"> 沪040302010002</t>
  </si>
  <si>
    <t>52407053.36</t>
  </si>
  <si>
    <t xml:space="preserve"> 040201013006</t>
  </si>
  <si>
    <t xml:space="preserve"> 040201013007</t>
  </si>
  <si>
    <t xml:space="preserve"> 沪040302013007</t>
  </si>
  <si>
    <t xml:space="preserve"> 040901001023</t>
  </si>
  <si>
    <t xml:space="preserve"> 040103002007</t>
  </si>
  <si>
    <t xml:space="preserve"> 沪040302014005</t>
  </si>
  <si>
    <t xml:space="preserve"> 040301004009</t>
  </si>
  <si>
    <t xml:space="preserve">  φ800灌注桩（立柱桩)C35水下</t>
  </si>
  <si>
    <t xml:space="preserve"> 040901004010</t>
  </si>
  <si>
    <t xml:space="preserve"> 沪040302014006</t>
  </si>
  <si>
    <t xml:space="preserve"> 040101001003</t>
  </si>
  <si>
    <t xml:space="preserve"> 040103001003</t>
  </si>
  <si>
    <t xml:space="preserve"> 040103002008</t>
  </si>
  <si>
    <t xml:space="preserve"> 041107001003</t>
  </si>
  <si>
    <t>20199814.28</t>
  </si>
  <si>
    <t xml:space="preserve"> 040301004010</t>
  </si>
  <si>
    <t xml:space="preserve">  φ800灌注桩（工程桩)C35水下 30m</t>
  </si>
  <si>
    <t xml:space="preserve"> 040301004011</t>
  </si>
  <si>
    <t xml:space="preserve">  φ800灌注桩（工程桩)C35水下 35m</t>
  </si>
  <si>
    <t xml:space="preserve"> 040301004012</t>
  </si>
  <si>
    <t xml:space="preserve">  φ800灌注桩（工程桩)C35水下 40m</t>
  </si>
  <si>
    <t xml:space="preserve"> 040901004011</t>
  </si>
  <si>
    <t xml:space="preserve"> 040406002003</t>
  </si>
  <si>
    <t xml:space="preserve"> 040901001024</t>
  </si>
  <si>
    <t xml:space="preserve"> 040406004009</t>
  </si>
  <si>
    <t xml:space="preserve"> 040901001025</t>
  </si>
  <si>
    <t xml:space="preserve"> 040406004010</t>
  </si>
  <si>
    <t xml:space="preserve"> 040901001026</t>
  </si>
  <si>
    <t xml:space="preserve"> 040406006005</t>
  </si>
  <si>
    <t xml:space="preserve"> 040901001027</t>
  </si>
  <si>
    <t xml:space="preserve"> 040406006006</t>
  </si>
  <si>
    <t xml:space="preserve"> 040901001028</t>
  </si>
  <si>
    <t xml:space="preserve"> 040406008003</t>
  </si>
  <si>
    <t xml:space="preserve"> 040901001029</t>
  </si>
  <si>
    <t xml:space="preserve"> 040901009003</t>
  </si>
  <si>
    <t xml:space="preserve"> 040303017002</t>
  </si>
  <si>
    <t xml:space="preserve"> 040901001030</t>
  </si>
  <si>
    <t xml:space="preserve"> 040406004011</t>
  </si>
  <si>
    <t xml:space="preserve"> 040901001031</t>
  </si>
  <si>
    <t xml:space="preserve"> 040103002009</t>
  </si>
  <si>
    <t>25891714.32</t>
  </si>
  <si>
    <t xml:space="preserve"> 040402019007</t>
  </si>
  <si>
    <t xml:space="preserve"> 040402019008</t>
  </si>
  <si>
    <t xml:space="preserve"> 040402019009</t>
  </si>
  <si>
    <t xml:space="preserve"> 040402017003</t>
  </si>
  <si>
    <t xml:space="preserve"> 沪041001012002</t>
  </si>
  <si>
    <t>130148826.36</t>
  </si>
  <si>
    <t>四平路工作井</t>
  </si>
  <si>
    <t xml:space="preserve"> 040302003007</t>
  </si>
  <si>
    <t>30802319.35</t>
  </si>
  <si>
    <t xml:space="preserve"> 040302003008</t>
  </si>
  <si>
    <t xml:space="preserve">  地下连续墙800厚（封堵）</t>
  </si>
  <si>
    <t xml:space="preserve"> 040901004012</t>
  </si>
  <si>
    <t>15135976.84</t>
  </si>
  <si>
    <t xml:space="preserve"> 040302005012</t>
  </si>
  <si>
    <t xml:space="preserve"> 040201015008</t>
  </si>
  <si>
    <t>10825175.52</t>
  </si>
  <si>
    <t xml:space="preserve"> 040302005013</t>
  </si>
  <si>
    <t xml:space="preserve"> 040302005014</t>
  </si>
  <si>
    <t xml:space="preserve">  TRD止水帷幕850mm（坑底以上2m~-46.5m）</t>
  </si>
  <si>
    <t>68164859.16</t>
  </si>
  <si>
    <t xml:space="preserve"> 040201015009</t>
  </si>
  <si>
    <t xml:space="preserve"> 040201015010</t>
  </si>
  <si>
    <t xml:space="preserve"> 沪040302013008</t>
  </si>
  <si>
    <t xml:space="preserve">  钢砼顶圈梁C35（含拆除）</t>
  </si>
  <si>
    <t xml:space="preserve"> 沪040302013009</t>
  </si>
  <si>
    <t xml:space="preserve"> 040901001032</t>
  </si>
  <si>
    <t xml:space="preserve"> 040103002010</t>
  </si>
  <si>
    <t xml:space="preserve"> 040301004013</t>
  </si>
  <si>
    <t xml:space="preserve">  φ1000灌注桩C35水下</t>
  </si>
  <si>
    <t xml:space="preserve"> 040901004013</t>
  </si>
  <si>
    <t xml:space="preserve"> 沪040302014007</t>
  </si>
  <si>
    <t xml:space="preserve"> 040101001004</t>
  </si>
  <si>
    <t xml:space="preserve"> 040103001004</t>
  </si>
  <si>
    <t xml:space="preserve"> 040103002011</t>
  </si>
  <si>
    <t xml:space="preserve"> 041107001004</t>
  </si>
  <si>
    <t>10850310.13</t>
  </si>
  <si>
    <t xml:space="preserve"> 040406002004</t>
  </si>
  <si>
    <t xml:space="preserve"> 040901001033</t>
  </si>
  <si>
    <t xml:space="preserve"> 040406003002</t>
  </si>
  <si>
    <t xml:space="preserve"> 040901001034</t>
  </si>
  <si>
    <t xml:space="preserve"> 040406004012</t>
  </si>
  <si>
    <t xml:space="preserve"> 040901001035</t>
  </si>
  <si>
    <t xml:space="preserve"> 040406004013</t>
  </si>
  <si>
    <t xml:space="preserve"> 040901001036</t>
  </si>
  <si>
    <t xml:space="preserve"> 040406005001</t>
  </si>
  <si>
    <t xml:space="preserve">  混凝土框架 C35</t>
  </si>
  <si>
    <t xml:space="preserve"> 040901001037</t>
  </si>
  <si>
    <t xml:space="preserve">  框架钢筋</t>
  </si>
  <si>
    <t xml:space="preserve"> 040406006007</t>
  </si>
  <si>
    <t xml:space="preserve">  混凝土顶板35</t>
  </si>
  <si>
    <t xml:space="preserve"> 040901001038</t>
  </si>
  <si>
    <t xml:space="preserve"> 040406006008</t>
  </si>
  <si>
    <t xml:space="preserve"> 040901001039</t>
  </si>
  <si>
    <t xml:space="preserve"> 040303017003</t>
  </si>
  <si>
    <t xml:space="preserve"> 040901001040</t>
  </si>
  <si>
    <t xml:space="preserve"> 040304005001</t>
  </si>
  <si>
    <t xml:space="preserve">  安装预制防撞侧石砼 C30</t>
  </si>
  <si>
    <t xml:space="preserve"> 040303001002</t>
  </si>
  <si>
    <t xml:space="preserve"> 040901009004</t>
  </si>
  <si>
    <t xml:space="preserve">  预埋钢环</t>
  </si>
  <si>
    <t xml:space="preserve"> 040901009005</t>
  </si>
  <si>
    <t>21251295.86</t>
  </si>
  <si>
    <t xml:space="preserve"> 040402019010</t>
  </si>
  <si>
    <t xml:space="preserve"> 040402019011</t>
  </si>
  <si>
    <t xml:space="preserve"> 040402019012</t>
  </si>
  <si>
    <t xml:space="preserve"> 040402017004</t>
  </si>
  <si>
    <t>107579535.83</t>
  </si>
  <si>
    <t>临平路工作井</t>
  </si>
  <si>
    <t xml:space="preserve"> 040302003009</t>
  </si>
  <si>
    <t>35087086.08</t>
  </si>
  <si>
    <t xml:space="preserve"> 040302003010</t>
  </si>
  <si>
    <t xml:space="preserve">  地下连续墙1000厚（封堵）</t>
  </si>
  <si>
    <t xml:space="preserve"> 040901004014</t>
  </si>
  <si>
    <t>17111501.09</t>
  </si>
  <si>
    <t xml:space="preserve"> 040302005015</t>
  </si>
  <si>
    <t xml:space="preserve"> 040201015011</t>
  </si>
  <si>
    <t xml:space="preserve"> 040302005016</t>
  </si>
  <si>
    <t>78068784.19</t>
  </si>
  <si>
    <t xml:space="preserve"> 040201015012</t>
  </si>
  <si>
    <t xml:space="preserve"> 040201015013</t>
  </si>
  <si>
    <t>11435236.56</t>
  </si>
  <si>
    <t xml:space="preserve"> 沪040302013010</t>
  </si>
  <si>
    <t xml:space="preserve"> 沪040302013011</t>
  </si>
  <si>
    <t xml:space="preserve"> 040901001041</t>
  </si>
  <si>
    <t xml:space="preserve"> 040103002012</t>
  </si>
  <si>
    <t xml:space="preserve"> 040301004014</t>
  </si>
  <si>
    <t xml:space="preserve"> 040901004015</t>
  </si>
  <si>
    <t xml:space="preserve"> 沪040302014008</t>
  </si>
  <si>
    <t xml:space="preserve"> 040101001005</t>
  </si>
  <si>
    <t xml:space="preserve"> 040103001005</t>
  </si>
  <si>
    <t xml:space="preserve"> 040103002013</t>
  </si>
  <si>
    <t xml:space="preserve"> 041107001005</t>
  </si>
  <si>
    <t>11084221.58</t>
  </si>
  <si>
    <t xml:space="preserve"> 040406002005</t>
  </si>
  <si>
    <t xml:space="preserve"> 040901001042</t>
  </si>
  <si>
    <t xml:space="preserve"> 040406004014</t>
  </si>
  <si>
    <t xml:space="preserve"> 040901001043</t>
  </si>
  <si>
    <t xml:space="preserve"> 040406004015</t>
  </si>
  <si>
    <t xml:space="preserve"> 040901001044</t>
  </si>
  <si>
    <t xml:space="preserve"> 040406005002</t>
  </si>
  <si>
    <t xml:space="preserve"> 040901001045</t>
  </si>
  <si>
    <t xml:space="preserve"> 040406006009</t>
  </si>
  <si>
    <t xml:space="preserve"> 040901001046</t>
  </si>
  <si>
    <t xml:space="preserve"> 040406006010</t>
  </si>
  <si>
    <t xml:space="preserve"> 040901001047</t>
  </si>
  <si>
    <t xml:space="preserve"> 040303017004</t>
  </si>
  <si>
    <t xml:space="preserve"> 040901001048</t>
  </si>
  <si>
    <t xml:space="preserve"> 040304005002</t>
  </si>
  <si>
    <t xml:space="preserve"> 040303001003</t>
  </si>
  <si>
    <t xml:space="preserve"> 040901009006</t>
  </si>
  <si>
    <t xml:space="preserve"> 040901009007</t>
  </si>
  <si>
    <t xml:space="preserve"> 040406004016</t>
  </si>
  <si>
    <t xml:space="preserve">  二阶段腋板 C35（含拆除）</t>
  </si>
  <si>
    <t xml:space="preserve"> 040901001049</t>
  </si>
  <si>
    <t xml:space="preserve">  钢筋 二阶段腋板（含拆除）</t>
  </si>
  <si>
    <t xml:space="preserve"> 040103002014</t>
  </si>
  <si>
    <t>22310115.63</t>
  </si>
  <si>
    <t xml:space="preserve"> 040402019013</t>
  </si>
  <si>
    <t xml:space="preserve"> 040402019014</t>
  </si>
  <si>
    <t xml:space="preserve"> 040402019015</t>
  </si>
  <si>
    <t xml:space="preserve"> 040402017005</t>
  </si>
  <si>
    <t>123304722.37</t>
  </si>
  <si>
    <t>地下道路铺装</t>
  </si>
  <si>
    <t>道路铺装</t>
  </si>
  <si>
    <t xml:space="preserve"> 040203007001</t>
  </si>
  <si>
    <t xml:space="preserve">  路面铺装 C30</t>
  </si>
  <si>
    <t xml:space="preserve"> 040901003001</t>
  </si>
  <si>
    <t xml:space="preserve">  钢筋网片 路面铺装</t>
  </si>
  <si>
    <t>道路铺装小计</t>
  </si>
  <si>
    <t>地面道路</t>
  </si>
  <si>
    <t>土石方、路基工程</t>
  </si>
  <si>
    <t xml:space="preserve"> 041001001001</t>
  </si>
  <si>
    <t xml:space="preserve">  翻挖道路</t>
  </si>
  <si>
    <t xml:space="preserve"> 040101001006</t>
  </si>
  <si>
    <t xml:space="preserve">  挖路基土方</t>
  </si>
  <si>
    <t xml:space="preserve"> 040103001006</t>
  </si>
  <si>
    <t xml:space="preserve">  土方回填</t>
  </si>
  <si>
    <t xml:space="preserve"> 040202003001</t>
  </si>
  <si>
    <t xml:space="preserve">  50cm水泥土基层</t>
  </si>
  <si>
    <t xml:space="preserve"> 040202009001</t>
  </si>
  <si>
    <t xml:space="preserve">  20cm砾石砂垫层</t>
  </si>
  <si>
    <t xml:space="preserve"> 040103001007</t>
  </si>
  <si>
    <t xml:space="preserve">  浅覆土路基回填</t>
  </si>
  <si>
    <t>土石方、路基工程小计</t>
  </si>
  <si>
    <t>机动车道</t>
  </si>
  <si>
    <t xml:space="preserve"> 040202001001</t>
  </si>
  <si>
    <t xml:space="preserve">  路床（槽）整形</t>
  </si>
  <si>
    <t xml:space="preserve"> 040203006001</t>
  </si>
  <si>
    <t xml:space="preserve">  4cm开级配沥青混凝土(OGFC-13高黏度,改性沥青)</t>
  </si>
  <si>
    <t xml:space="preserve"> 040203006002</t>
  </si>
  <si>
    <t xml:space="preserve">  5cm中粒式沥青混凝土(AC-16C,SBS改性沥青)</t>
  </si>
  <si>
    <t xml:space="preserve"> 040203006003</t>
  </si>
  <si>
    <t xml:space="preserve">  7cm粗粒式沥青混凝土 (AC-25C)</t>
  </si>
  <si>
    <t xml:space="preserve"> 040203003001</t>
  </si>
  <si>
    <t xml:space="preserve">  粘层 乳化沥青PC-3</t>
  </si>
  <si>
    <t xml:space="preserve"> 040203003002</t>
  </si>
  <si>
    <t xml:space="preserve">  透层 液体沥青AL(M)-2</t>
  </si>
  <si>
    <t xml:space="preserve"> 040203004001</t>
  </si>
  <si>
    <t xml:space="preserve">  0.6cm 稀浆封层</t>
  </si>
  <si>
    <t xml:space="preserve"> 040202015001</t>
  </si>
  <si>
    <t xml:space="preserve">  45cm水泥稳定碎石</t>
  </si>
  <si>
    <t xml:space="preserve"> 040202011001</t>
  </si>
  <si>
    <t xml:space="preserve">  15cm级配碎石</t>
  </si>
  <si>
    <t>机动车道小计</t>
  </si>
  <si>
    <t>15078454.27</t>
  </si>
  <si>
    <t>非机动车道</t>
  </si>
  <si>
    <t xml:space="preserve"> 040202001002</t>
  </si>
  <si>
    <t xml:space="preserve"> 040203006004</t>
  </si>
  <si>
    <t xml:space="preserve"> 040203006005</t>
  </si>
  <si>
    <t xml:space="preserve">  6cm中粒式沥青混凝土(AC-20C)</t>
  </si>
  <si>
    <t xml:space="preserve"> 040203003003</t>
  </si>
  <si>
    <t xml:space="preserve"> 040203003004</t>
  </si>
  <si>
    <t xml:space="preserve"> 040202015002</t>
  </si>
  <si>
    <t xml:space="preserve">  20cm水泥稳定碎石</t>
  </si>
  <si>
    <t xml:space="preserve"> 040202011002</t>
  </si>
  <si>
    <t>非机动车道小计</t>
  </si>
  <si>
    <t>人行道及其他</t>
  </si>
  <si>
    <t xml:space="preserve"> 040204001001</t>
  </si>
  <si>
    <t xml:space="preserve">  人行道整形碾压</t>
  </si>
  <si>
    <t xml:space="preserve"> 040204002001</t>
  </si>
  <si>
    <t xml:space="preserve">  新建人行道（花岗岩）</t>
  </si>
  <si>
    <t xml:space="preserve"> 040204002002</t>
  </si>
  <si>
    <t xml:space="preserve">  新建人行道（同质砖）</t>
  </si>
  <si>
    <t xml:space="preserve"> 040204004001</t>
  </si>
  <si>
    <t xml:space="preserve">  安砌侧（平）石</t>
  </si>
  <si>
    <t xml:space="preserve"> 040204004002</t>
  </si>
  <si>
    <t xml:space="preserve">  安砌侧（平）石 地道敞开段</t>
  </si>
  <si>
    <t xml:space="preserve"> 040204004003</t>
  </si>
  <si>
    <t xml:space="preserve">  安砌缘石</t>
  </si>
  <si>
    <t xml:space="preserve"> 040701004001</t>
  </si>
  <si>
    <t xml:space="preserve">  防渗膜（两布一膜）</t>
  </si>
  <si>
    <t xml:space="preserve"> 040201021001</t>
  </si>
  <si>
    <t xml:space="preserve">  透水土工布</t>
  </si>
  <si>
    <t xml:space="preserve"> 040309009001</t>
  </si>
  <si>
    <t xml:space="preserve">  集水管φ100PVC</t>
  </si>
  <si>
    <t>人行道及其他小计</t>
  </si>
  <si>
    <t>老路铣刨加罩、搭接</t>
  </si>
  <si>
    <t xml:space="preserve"> 041001004001</t>
  </si>
  <si>
    <t xml:space="preserve">  铣刨路面 沥青混凝土</t>
  </si>
  <si>
    <t xml:space="preserve"> 040203006006</t>
  </si>
  <si>
    <t xml:space="preserve"> 040203006007</t>
  </si>
  <si>
    <t xml:space="preserve"> 040203003005</t>
  </si>
  <si>
    <t xml:space="preserve"> 040203004002</t>
  </si>
  <si>
    <t xml:space="preserve"> 040201021002</t>
  </si>
  <si>
    <t xml:space="preserve">  聚酯玻纤布</t>
  </si>
  <si>
    <t xml:space="preserve"> 040201021003</t>
  </si>
  <si>
    <t xml:space="preserve">  土工格栅</t>
  </si>
  <si>
    <t>老路铣刨加罩、搭接小计</t>
  </si>
  <si>
    <t>新建道路临时沥青路面铣刨</t>
  </si>
  <si>
    <t xml:space="preserve"> 040203006008</t>
  </si>
  <si>
    <t xml:space="preserve">  2cm砂砾式沥青混凝土</t>
  </si>
  <si>
    <t xml:space="preserve"> 041001004002</t>
  </si>
  <si>
    <t xml:space="preserve">  铣刨路面 2cm沥青混凝土</t>
  </si>
  <si>
    <t>新建道路临时沥青路面铣刨小计</t>
  </si>
  <si>
    <t>附属工程</t>
  </si>
  <si>
    <t xml:space="preserve"> 040201022001</t>
  </si>
  <si>
    <t xml:space="preserve">  截水沟</t>
  </si>
  <si>
    <t xml:space="preserve"> 041001010001</t>
  </si>
  <si>
    <t xml:space="preserve">  拆除标杆</t>
  </si>
  <si>
    <t>根</t>
  </si>
  <si>
    <t>附属工程小计</t>
  </si>
  <si>
    <t>29557059.35</t>
  </si>
  <si>
    <t>雨水（合流）工程</t>
  </si>
  <si>
    <t>雨水检查井</t>
  </si>
  <si>
    <t xml:space="preserve"> 040504002003</t>
  </si>
  <si>
    <t xml:space="preserve">  钢砼雨水检查井1000*1350 2.0m</t>
  </si>
  <si>
    <t xml:space="preserve"> 040504002004</t>
  </si>
  <si>
    <t xml:space="preserve">  钢砼雨水检查井1000*1350 2.5m</t>
  </si>
  <si>
    <t xml:space="preserve"> 040504002005</t>
  </si>
  <si>
    <t xml:space="preserve">  钢砼雨水检查井1000*1350 3.0m</t>
  </si>
  <si>
    <t xml:space="preserve"> 040504002006</t>
  </si>
  <si>
    <t xml:space="preserve">  钢砼雨水检查井1000*1350 4.0m</t>
  </si>
  <si>
    <t xml:space="preserve"> 040504002007</t>
  </si>
  <si>
    <t xml:space="preserve">  钢砼雨水检查井1000*1350 3.0m↓</t>
  </si>
  <si>
    <t xml:space="preserve"> 040504002008</t>
  </si>
  <si>
    <t xml:space="preserve">  钢砼雨水检查井1000*1550 2.5m</t>
  </si>
  <si>
    <t xml:space="preserve"> 040504002009</t>
  </si>
  <si>
    <t xml:space="preserve">  钢砼雨水检查井1000*1550 3.5m</t>
  </si>
  <si>
    <t xml:space="preserve"> 040504002010</t>
  </si>
  <si>
    <t xml:space="preserve">  钢砼雨水检查井1000*1550 2.5m↓</t>
  </si>
  <si>
    <t xml:space="preserve"> 040504002011</t>
  </si>
  <si>
    <t xml:space="preserve">  钢砼雨水检查井1000*1550 3.5m↓</t>
  </si>
  <si>
    <t xml:space="preserve"> 040504002012</t>
  </si>
  <si>
    <t xml:space="preserve">  钢砼雨水检查井1000*1800 3.0m</t>
  </si>
  <si>
    <t xml:space="preserve"> 040504002013</t>
  </si>
  <si>
    <t xml:space="preserve">  钢砼雨水检查井1000*1800 4.0m</t>
  </si>
  <si>
    <t xml:space="preserve"> 040504002014</t>
  </si>
  <si>
    <t xml:space="preserve">  钢砼雨水检查井1000*1800 2.5m↓</t>
  </si>
  <si>
    <t xml:space="preserve"> 040504002015</t>
  </si>
  <si>
    <t xml:space="preserve">  钢砼雨水检查井1000*1800 3.0m↓</t>
  </si>
  <si>
    <t xml:space="preserve"> 040504002016</t>
  </si>
  <si>
    <t xml:space="preserve">  钢砼雨水检查井1000*1800 5.5m↓</t>
  </si>
  <si>
    <t xml:space="preserve"> 040504002017</t>
  </si>
  <si>
    <t xml:space="preserve">  钢砼雨水检查井1000*1800 6.0m↓</t>
  </si>
  <si>
    <t xml:space="preserve"> 040504002018</t>
  </si>
  <si>
    <t xml:space="preserve">  钢砼雨水检查井1100*2050 5.0m</t>
  </si>
  <si>
    <t xml:space="preserve"> 040504002019</t>
  </si>
  <si>
    <t xml:space="preserve">  钢砼雨水检查井1100*2050 5.5m</t>
  </si>
  <si>
    <t xml:space="preserve"> 040504002020</t>
  </si>
  <si>
    <t xml:space="preserve">  钢砼雨水检查井1100*2050 5.0m↓</t>
  </si>
  <si>
    <t xml:space="preserve"> 040504002021</t>
  </si>
  <si>
    <t xml:space="preserve">  钢砼雨水检查井1100*2400 5.0m</t>
  </si>
  <si>
    <t xml:space="preserve"> 040504002022</t>
  </si>
  <si>
    <t xml:space="preserve">  钢砼雨水检查井2210*1775 2.5m</t>
  </si>
  <si>
    <t xml:space="preserve"> 040504002023</t>
  </si>
  <si>
    <t xml:space="preserve">  钢砼雨水检查井2210*1775 3.0m</t>
  </si>
  <si>
    <t xml:space="preserve"> 040504002024</t>
  </si>
  <si>
    <t xml:space="preserve">  钢砼雨水检查井 二通转折  2.5m↓</t>
  </si>
  <si>
    <t xml:space="preserve"> 040504002025</t>
  </si>
  <si>
    <t xml:space="preserve">  钢砼雨水检查井 二通转折  5.0m</t>
  </si>
  <si>
    <t xml:space="preserve"> 040504002026</t>
  </si>
  <si>
    <t xml:space="preserve">  钢砼雨水检查井 三通井 2.5m</t>
  </si>
  <si>
    <t xml:space="preserve"> 040504002027</t>
  </si>
  <si>
    <t xml:space="preserve">  钢砼雨水检查井 三通井 3.5m</t>
  </si>
  <si>
    <t xml:space="preserve"> 040504002028</t>
  </si>
  <si>
    <t xml:space="preserve">  钢砼雨水检查井 三通井 4.5m</t>
  </si>
  <si>
    <t xml:space="preserve"> 040504002029</t>
  </si>
  <si>
    <t xml:space="preserve">  钢砼雨水检查井 三通井 5.0m</t>
  </si>
  <si>
    <t xml:space="preserve"> 040504002030</t>
  </si>
  <si>
    <t xml:space="preserve">  钢砼雨水检查井 三通井 5.5m</t>
  </si>
  <si>
    <t xml:space="preserve"> 040504002031</t>
  </si>
  <si>
    <t xml:space="preserve">  钢砼雨水检查井 三通井 7.0m 隧道合建</t>
  </si>
  <si>
    <t xml:space="preserve"> 040504002032</t>
  </si>
  <si>
    <t xml:space="preserve">  钢砼雨水检查井 四通井 3.0m</t>
  </si>
  <si>
    <t xml:space="preserve"> 040504002033</t>
  </si>
  <si>
    <t xml:space="preserve">  钢砼雨水检查井 四通井 6.0m</t>
  </si>
  <si>
    <t xml:space="preserve"> 040504002034</t>
  </si>
  <si>
    <t xml:space="preserve">  钢砼雨水检查井φ3500 3.06+0.9m</t>
  </si>
  <si>
    <t xml:space="preserve"> 040504002035</t>
  </si>
  <si>
    <t xml:space="preserve">  钢砼雨水检查井φ4100 6.5+0.9m</t>
  </si>
  <si>
    <t xml:space="preserve"> 040504002036</t>
  </si>
  <si>
    <t xml:space="preserve">  钢砼雨水检查井φ4100 12.3+0.9m</t>
  </si>
  <si>
    <t xml:space="preserve"> 040504002037</t>
  </si>
  <si>
    <t xml:space="preserve">  钢砼包管井φ4000 4.39m</t>
  </si>
  <si>
    <t xml:space="preserve"> 040504002038</t>
  </si>
  <si>
    <t xml:space="preserve">  钢砼包管井φ4000 5.3m</t>
  </si>
  <si>
    <t xml:space="preserve"> 040504002039</t>
  </si>
  <si>
    <t xml:space="preserve">  钢砼检查井3600*3600*11.91  隧道合建</t>
  </si>
  <si>
    <t xml:space="preserve"> 040504002040</t>
  </si>
  <si>
    <t xml:space="preserve">  原井改造接箱涵</t>
  </si>
  <si>
    <t xml:space="preserve"> 040504002041</t>
  </si>
  <si>
    <t xml:space="preserve">  钢砼骑马井φ1000 6.5m内</t>
  </si>
  <si>
    <t xml:space="preserve"> 040504002042</t>
  </si>
  <si>
    <t xml:space="preserve">  钢砼骑马井φ1000 7.1m内</t>
  </si>
  <si>
    <t xml:space="preserve"> 040504002043</t>
  </si>
  <si>
    <t xml:space="preserve">  钢砼骑马井φ1500</t>
  </si>
  <si>
    <t xml:space="preserve"> 040504009001</t>
  </si>
  <si>
    <t xml:space="preserve">  双箅雨水口</t>
  </si>
  <si>
    <t>雨水检查井小计</t>
  </si>
  <si>
    <t>12000*6000包管井</t>
  </si>
  <si>
    <t xml:space="preserve"> 040201015014</t>
  </si>
  <si>
    <t xml:space="preserve">  MJS加固</t>
  </si>
  <si>
    <t xml:space="preserve"> 040201015015</t>
  </si>
  <si>
    <t xml:space="preserve"> 040301004015</t>
  </si>
  <si>
    <t xml:space="preserve">  φ800灌注桩C30水下</t>
  </si>
  <si>
    <t xml:space="preserve"> 040901004016</t>
  </si>
  <si>
    <t xml:space="preserve"> 040201015016</t>
  </si>
  <si>
    <t xml:space="preserve">  高压旋喷桩坑底加固</t>
  </si>
  <si>
    <t xml:space="preserve"> 040101003001</t>
  </si>
  <si>
    <t xml:space="preserve">  基坑挖方</t>
  </si>
  <si>
    <t xml:space="preserve"> 沪040302013012</t>
  </si>
  <si>
    <t xml:space="preserve">  钢砼围檩、支撑C35</t>
  </si>
  <si>
    <t xml:space="preserve"> 沪040302014009</t>
  </si>
  <si>
    <t xml:space="preserve"> 040504002044</t>
  </si>
  <si>
    <t xml:space="preserve">  钢砼包管井12000*6000</t>
  </si>
  <si>
    <t>12000*6000包管井小计</t>
  </si>
  <si>
    <t>微顶管工作井φ5090*6.24</t>
  </si>
  <si>
    <t xml:space="preserve"> 040501002001</t>
  </si>
  <si>
    <t xml:space="preserve">  钢套筒</t>
  </si>
  <si>
    <t xml:space="preserve"> 040601002001</t>
  </si>
  <si>
    <t xml:space="preserve">  下沉、开挖</t>
  </si>
  <si>
    <t xml:space="preserve"> 040201015017</t>
  </si>
  <si>
    <t xml:space="preserve"> 040201015018</t>
  </si>
  <si>
    <t xml:space="preserve">  MJS洞口加固</t>
  </si>
  <si>
    <t xml:space="preserve"> 040504002045</t>
  </si>
  <si>
    <t xml:space="preserve">  内嵌钢砼检查井φ5090*6.24</t>
  </si>
  <si>
    <t xml:space="preserve"> 040201020001</t>
  </si>
  <si>
    <t xml:space="preserve">  路基回填</t>
  </si>
  <si>
    <t>微顶管工作井φ5090*6.24小计</t>
  </si>
  <si>
    <t>微顶管工作井φ5090*7.81 （隧道合建）</t>
  </si>
  <si>
    <t xml:space="preserve"> 040504002046</t>
  </si>
  <si>
    <t xml:space="preserve">  顶管钢砼检查井φ5090*7.81 隧道合建</t>
  </si>
  <si>
    <t>微顶管工作井φ5090*7.81 （隧道合建）小计</t>
  </si>
  <si>
    <t>微顶管工作井φ5090*12.36</t>
  </si>
  <si>
    <t xml:space="preserve"> 040501002002</t>
  </si>
  <si>
    <t xml:space="preserve"> 040601002002</t>
  </si>
  <si>
    <t xml:space="preserve"> 040201015019</t>
  </si>
  <si>
    <t xml:space="preserve"> 040201015020</t>
  </si>
  <si>
    <t xml:space="preserve"> 040504002047</t>
  </si>
  <si>
    <t xml:space="preserve">  内嵌钢砼检查井φ5090*12.36</t>
  </si>
  <si>
    <t xml:space="preserve"> 040201020002</t>
  </si>
  <si>
    <t>微顶管工作井φ5090*12.36小计</t>
  </si>
  <si>
    <t>微顶管接收井φ4000*6.93</t>
  </si>
  <si>
    <t xml:space="preserve"> 040501002003</t>
  </si>
  <si>
    <t xml:space="preserve"> 040601002003</t>
  </si>
  <si>
    <t xml:space="preserve"> 040201015021</t>
  </si>
  <si>
    <t xml:space="preserve"> 040201015022</t>
  </si>
  <si>
    <t xml:space="preserve"> 040504002048</t>
  </si>
  <si>
    <t xml:space="preserve">  内嵌钢砼检查井φ4000*6.93</t>
  </si>
  <si>
    <t xml:space="preserve"> 040201020003</t>
  </si>
  <si>
    <t>微顶管接收井φ4000*6.93小计</t>
  </si>
  <si>
    <t>北7#排水箱涵（隧道内）</t>
  </si>
  <si>
    <t xml:space="preserve"> 040306003001</t>
  </si>
  <si>
    <t xml:space="preserve">  箱涵底板C30 P8</t>
  </si>
  <si>
    <t xml:space="preserve"> 040306004001</t>
  </si>
  <si>
    <t xml:space="preserve">  箱涵侧墙C30 P8</t>
  </si>
  <si>
    <t xml:space="preserve"> 040306005001</t>
  </si>
  <si>
    <t xml:space="preserve">  箱涵顶板C30 P8</t>
  </si>
  <si>
    <t xml:space="preserve"> 040601014001</t>
  </si>
  <si>
    <t xml:space="preserve">  素砼流槽 C20</t>
  </si>
  <si>
    <t xml:space="preserve"> 040504002049</t>
  </si>
  <si>
    <t xml:space="preserve">  井盖、井座</t>
  </si>
  <si>
    <t xml:space="preserve"> 040901001050</t>
  </si>
  <si>
    <t xml:space="preserve">  箱涵钢筋</t>
  </si>
  <si>
    <t>北7#排水箱涵（隧道内）小计</t>
  </si>
  <si>
    <t>2200*2200箱涵（隧道内）</t>
  </si>
  <si>
    <t xml:space="preserve"> 040306003002</t>
  </si>
  <si>
    <t xml:space="preserve"> 040306004002</t>
  </si>
  <si>
    <t xml:space="preserve"> 040901001051</t>
  </si>
  <si>
    <t>2200*2200箱涵（隧道内）小计</t>
  </si>
  <si>
    <t>开槽埋管</t>
  </si>
  <si>
    <t xml:space="preserve"> 040501001001</t>
  </si>
  <si>
    <t xml:space="preserve">  承插式钢砼Ⅱ级管 DN800 2.5m</t>
  </si>
  <si>
    <t xml:space="preserve"> 040501001002</t>
  </si>
  <si>
    <t xml:space="preserve">  承插式钢砼Ⅱ级管 DN800 ≤3m</t>
  </si>
  <si>
    <t xml:space="preserve"> 040501001003</t>
  </si>
  <si>
    <t xml:space="preserve">  承插式钢砼Ⅱ级管 DN800 ＞3m</t>
  </si>
  <si>
    <t xml:space="preserve"> 040501001004</t>
  </si>
  <si>
    <t xml:space="preserve">  承插式钢砼Ⅱ级管 DN800 3.5m</t>
  </si>
  <si>
    <t xml:space="preserve"> 040501001005</t>
  </si>
  <si>
    <t xml:space="preserve">  承插式钢砼Ⅱ级管 DN800 4.5m</t>
  </si>
  <si>
    <t xml:space="preserve"> 040501001006</t>
  </si>
  <si>
    <t xml:space="preserve">  承插式钢砼Ⅱ级管 DN800 5.0m</t>
  </si>
  <si>
    <t xml:space="preserve"> 040501001007</t>
  </si>
  <si>
    <t xml:space="preserve">  承插式钢砼Ⅱ级管 DN800 ≤6m</t>
  </si>
  <si>
    <t xml:space="preserve"> 040501001008</t>
  </si>
  <si>
    <t xml:space="preserve">  承插式钢砼Ⅱ级管 DN1000 ＞3m</t>
  </si>
  <si>
    <t xml:space="preserve"> 040501001009</t>
  </si>
  <si>
    <t xml:space="preserve">  承插式钢砼Ⅱ级管 DN1000 ＞4m</t>
  </si>
  <si>
    <t xml:space="preserve"> 040501001010</t>
  </si>
  <si>
    <t xml:space="preserve">  承插式钢砼Ⅱ级管 DN1000 4.5m</t>
  </si>
  <si>
    <t xml:space="preserve"> 040501001011</t>
  </si>
  <si>
    <t xml:space="preserve">  承插式钢砼Ⅱ级管 DN1200 ＞3m</t>
  </si>
  <si>
    <t xml:space="preserve"> 040501001012</t>
  </si>
  <si>
    <t xml:space="preserve">  承插式钢砼Ⅱ级管 DN1200 3.5m</t>
  </si>
  <si>
    <t xml:space="preserve"> 040501001013</t>
  </si>
  <si>
    <t xml:space="preserve">  承插式钢砼Ⅱ级管 DN1200 ≤4m</t>
  </si>
  <si>
    <t xml:space="preserve"> 040501001014</t>
  </si>
  <si>
    <t xml:space="preserve">  承插式钢砼Ⅱ级管 DN1200 ≤6m</t>
  </si>
  <si>
    <t xml:space="preserve"> 040501001015</t>
  </si>
  <si>
    <t xml:space="preserve">  承插式钢砼Ⅱ级管 DN1200 ＞6m</t>
  </si>
  <si>
    <t xml:space="preserve"> 040501001016</t>
  </si>
  <si>
    <t xml:space="preserve">  企口式钢砼Ⅱ级管 DN1350 5.5m</t>
  </si>
  <si>
    <t xml:space="preserve"> 040501001017</t>
  </si>
  <si>
    <t xml:space="preserve">  企口式钢砼Ⅱ级管 DN1650 ≤8m  隧道合建</t>
  </si>
  <si>
    <t xml:space="preserve"> 040501001018</t>
  </si>
  <si>
    <t xml:space="preserve">  企口式钢砼Ⅱ级管 DN2400 8.5m  隧道合建</t>
  </si>
  <si>
    <t xml:space="preserve"> 040501004001</t>
  </si>
  <si>
    <t xml:space="preserve">  玻璃钢夹砂管DN1000 2.5m</t>
  </si>
  <si>
    <t xml:space="preserve"> 040501004002</t>
  </si>
  <si>
    <t xml:space="preserve">  玻璃钢夹砂管DN1000 ≤3m</t>
  </si>
  <si>
    <t xml:space="preserve"> 040501004003</t>
  </si>
  <si>
    <t xml:space="preserve">  玻璃钢夹砂管DN1000 ＞3m</t>
  </si>
  <si>
    <t xml:space="preserve"> 040501004004</t>
  </si>
  <si>
    <t xml:space="preserve">  玻璃钢夹砂管DN1000 4.5m</t>
  </si>
  <si>
    <t xml:space="preserve"> 040501004005</t>
  </si>
  <si>
    <t xml:space="preserve">  玻璃钢夹砂管DN1200 ≤3m</t>
  </si>
  <si>
    <t xml:space="preserve"> 040501004006</t>
  </si>
  <si>
    <t xml:space="preserve">  玻璃钢夹砂管DN1200 3.5m</t>
  </si>
  <si>
    <t xml:space="preserve"> 040501004007</t>
  </si>
  <si>
    <t xml:space="preserve">  玻璃钢夹砂管DN1200 5.0m</t>
  </si>
  <si>
    <t xml:space="preserve"> 040501004008</t>
  </si>
  <si>
    <t xml:space="preserve">  玻璃钢夹砂管DN1200 ≤6m</t>
  </si>
  <si>
    <t xml:space="preserve"> 040501004009</t>
  </si>
  <si>
    <t xml:space="preserve">  玻璃钢夹砂管DN1200 ＞6m</t>
  </si>
  <si>
    <t xml:space="preserve"> 040501004010</t>
  </si>
  <si>
    <t xml:space="preserve">  玻璃钢夹砂管DN1400 5.5m</t>
  </si>
  <si>
    <t xml:space="preserve"> 040501004011</t>
  </si>
  <si>
    <t xml:space="preserve">  玻璃钢夹砂管DN1600 7.5m</t>
  </si>
  <si>
    <t xml:space="preserve"> 040501004012</t>
  </si>
  <si>
    <t xml:space="preserve">  玻璃钢夹砂管DN1800 4.5m</t>
  </si>
  <si>
    <t xml:space="preserve"> 040501004013</t>
  </si>
  <si>
    <t xml:space="preserve">  玻璃钢夹砂管DN1800 5.5m</t>
  </si>
  <si>
    <t xml:space="preserve"> 040501004014</t>
  </si>
  <si>
    <t xml:space="preserve">  玻璃钢夹砂管DN1800 7.0m</t>
  </si>
  <si>
    <t xml:space="preserve"> 040501004015</t>
  </si>
  <si>
    <t xml:space="preserve">  HDPE双壁缠绕管雨水连管DN400</t>
  </si>
  <si>
    <t>开槽埋管小计</t>
  </si>
  <si>
    <t>27015634.11</t>
  </si>
  <si>
    <t>微顶管</t>
  </si>
  <si>
    <t xml:space="preserve"> 040501012001</t>
  </si>
  <si>
    <t xml:space="preserve">  微顶管DN2400</t>
  </si>
  <si>
    <t>微顶管小计</t>
  </si>
  <si>
    <t>加固</t>
  </si>
  <si>
    <t xml:space="preserve"> 沪200606001001</t>
  </si>
  <si>
    <t xml:space="preserve">  不锈钢板加固管道</t>
  </si>
  <si>
    <t>加固小计</t>
  </si>
  <si>
    <t>道路修复</t>
  </si>
  <si>
    <t xml:space="preserve"> 040203006009</t>
  </si>
  <si>
    <t xml:space="preserve"> 040203006010</t>
  </si>
  <si>
    <t xml:space="preserve"> 040203006011</t>
  </si>
  <si>
    <t xml:space="preserve"> 040203003006</t>
  </si>
  <si>
    <t xml:space="preserve"> 040203003007</t>
  </si>
  <si>
    <t xml:space="preserve"> 040203004003</t>
  </si>
  <si>
    <t xml:space="preserve"> 040202015003</t>
  </si>
  <si>
    <t xml:space="preserve"> 040202011003</t>
  </si>
  <si>
    <t>道路修复小计</t>
  </si>
  <si>
    <t>污水工程</t>
  </si>
  <si>
    <t>污水检查井</t>
  </si>
  <si>
    <t xml:space="preserve"> 040504002050</t>
  </si>
  <si>
    <t xml:space="preserve">  钢砼污水检查井1000*1150 4.5m</t>
  </si>
  <si>
    <t xml:space="preserve"> 040504002051</t>
  </si>
  <si>
    <t xml:space="preserve">  钢砼污水检查井1100*2250 5.0m</t>
  </si>
  <si>
    <t xml:space="preserve"> 040504002052</t>
  </si>
  <si>
    <t xml:space="preserve">  钢砼污水检查井 二通井 5.0m</t>
  </si>
  <si>
    <t xml:space="preserve"> 040504002053</t>
  </si>
  <si>
    <t xml:space="preserve">  钢砼污水检查井 二通井 5.5m</t>
  </si>
  <si>
    <t xml:space="preserve"> 040504002054</t>
  </si>
  <si>
    <t xml:space="preserve">  钢砼污水检查井 二通井 7.0m</t>
  </si>
  <si>
    <t xml:space="preserve"> 040504002055</t>
  </si>
  <si>
    <t xml:space="preserve">  钢砼污水检查井 三通井 5.0m</t>
  </si>
  <si>
    <t xml:space="preserve"> 040504002056</t>
  </si>
  <si>
    <t xml:space="preserve">  钢砼污水检查井 四通井 5.0m</t>
  </si>
  <si>
    <t>污水检查井小计</t>
  </si>
  <si>
    <t xml:space="preserve"> 040501004016</t>
  </si>
  <si>
    <t xml:space="preserve">  HDPE双壁缠绕管污水管DN300 4.5m</t>
  </si>
  <si>
    <t xml:space="preserve"> 040501004017</t>
  </si>
  <si>
    <t xml:space="preserve">  HDPE双壁缠绕管污水管DN300 5.0m</t>
  </si>
  <si>
    <t xml:space="preserve"> 040501001019</t>
  </si>
  <si>
    <t xml:space="preserve">  企口式钢砼Ⅱ级管 DN1500 5.5m</t>
  </si>
  <si>
    <t xml:space="preserve"> 040501001020</t>
  </si>
  <si>
    <t xml:space="preserve">  企口式钢砼Ⅱ级管 DN1500 ≤6.0m</t>
  </si>
  <si>
    <t xml:space="preserve"> 040501001021</t>
  </si>
  <si>
    <t xml:space="preserve">  企口式钢砼Ⅱ级管 DN1650 7.5m</t>
  </si>
  <si>
    <t xml:space="preserve"> 沪200606001002</t>
  </si>
  <si>
    <t>沙泾港防汛墙</t>
  </si>
  <si>
    <t>拆除、土方工程</t>
  </si>
  <si>
    <t xml:space="preserve"> 040101001007</t>
  </si>
  <si>
    <t xml:space="preserve">  挖一般土方</t>
  </si>
  <si>
    <t xml:space="preserve"> 040103001008</t>
  </si>
  <si>
    <t xml:space="preserve"> 041001008001</t>
  </si>
  <si>
    <t xml:space="preserve">  拆除原防汛墙</t>
  </si>
  <si>
    <t xml:space="preserve"> 041001008002</t>
  </si>
  <si>
    <t xml:space="preserve">  拆除围护桩</t>
  </si>
  <si>
    <t>拆除、土方工程小计</t>
  </si>
  <si>
    <t xml:space="preserve"> 沪040302010003</t>
  </si>
  <si>
    <t xml:space="preserve">  钢板桩</t>
  </si>
  <si>
    <t xml:space="preserve"> 040301004016</t>
  </si>
  <si>
    <t xml:space="preserve">  φ600灌注桩C30水下</t>
  </si>
  <si>
    <t xml:space="preserve"> 040901004017</t>
  </si>
  <si>
    <t xml:space="preserve"> 040303015001</t>
  </si>
  <si>
    <t xml:space="preserve">  混凝土悬臂式防汛墙C30（断面1）</t>
  </si>
  <si>
    <t xml:space="preserve"> 040303015002</t>
  </si>
  <si>
    <t xml:space="preserve">  混凝土悬臂式防汛墙C30（断面2）</t>
  </si>
  <si>
    <t xml:space="preserve"> 040901001052</t>
  </si>
  <si>
    <t xml:space="preserve">  防汛墙钢筋</t>
  </si>
  <si>
    <t xml:space="preserve"> 040309001001</t>
  </si>
  <si>
    <t xml:space="preserve">  不锈钢栏杆扶手</t>
  </si>
  <si>
    <t>步道恢复</t>
  </si>
  <si>
    <t xml:space="preserve"> 040204004004</t>
  </si>
  <si>
    <t xml:space="preserve"> 040204004005</t>
  </si>
  <si>
    <t xml:space="preserve"> 050201001001</t>
  </si>
  <si>
    <t xml:space="preserve">  步道</t>
  </si>
  <si>
    <t>步道恢复小计</t>
  </si>
  <si>
    <t>人防工程</t>
  </si>
  <si>
    <t>人防门</t>
  </si>
  <si>
    <t xml:space="preserve"> FA1602002001</t>
  </si>
  <si>
    <t xml:space="preserve">  无门槛密闭门WDMM0822(6)-P-S</t>
  </si>
  <si>
    <t>樘</t>
  </si>
  <si>
    <t xml:space="preserve"> FA1602002002</t>
  </si>
  <si>
    <t xml:space="preserve">  无门槛防护密闭门WDFM1522(6)-P-S</t>
  </si>
  <si>
    <t xml:space="preserve"> FA1602002003</t>
  </si>
  <si>
    <t xml:space="preserve">  无门槛防护密闭门WDFM2022(6)-P-S</t>
  </si>
  <si>
    <t xml:space="preserve"> FA1602002004</t>
  </si>
  <si>
    <t xml:space="preserve">  无门槛防护密闭门WSFM4025(6)-P-S</t>
  </si>
  <si>
    <t xml:space="preserve"> FA1602002005</t>
  </si>
  <si>
    <t xml:space="preserve">  钢结构防护密闭门JSFM7535(6)</t>
  </si>
  <si>
    <t xml:space="preserve"> FA1602002006</t>
  </si>
  <si>
    <t xml:space="preserve">  钢结构防护密闭门JSFM8235(6)</t>
  </si>
  <si>
    <t>人防门小计</t>
  </si>
  <si>
    <t>编码</t>
  </si>
  <si>
    <t>名称</t>
  </si>
  <si>
    <t>单位</t>
  </si>
  <si>
    <t>单价</t>
  </si>
  <si>
    <t>合价</t>
  </si>
  <si>
    <t/>
  </si>
  <si>
    <t>措施项目</t>
  </si>
  <si>
    <t>元</t>
  </si>
  <si>
    <t>总价措施项目</t>
  </si>
  <si>
    <t>安全文明施工</t>
  </si>
  <si>
    <t>1.000</t>
  </si>
  <si>
    <t>环境保护</t>
  </si>
  <si>
    <t>1.1.1</t>
  </si>
  <si>
    <t>041109001001</t>
  </si>
  <si>
    <t>粉尘控制</t>
  </si>
  <si>
    <t>1.1.2</t>
  </si>
  <si>
    <t>041109001002</t>
  </si>
  <si>
    <t>噪音控制</t>
  </si>
  <si>
    <t>1.1.3</t>
  </si>
  <si>
    <t>041109001003</t>
  </si>
  <si>
    <t>有毒有害气味控制</t>
  </si>
  <si>
    <t>文明施工</t>
  </si>
  <si>
    <t>1.2.1</t>
  </si>
  <si>
    <t>041109001004</t>
  </si>
  <si>
    <t>安全警示标志牌</t>
  </si>
  <si>
    <t>1.2.2</t>
  </si>
  <si>
    <t>041109001005</t>
  </si>
  <si>
    <t>现场围挡</t>
  </si>
  <si>
    <t>1.2.3</t>
  </si>
  <si>
    <t>041109001006</t>
  </si>
  <si>
    <t>各类图板</t>
  </si>
  <si>
    <t>1.2.4</t>
  </si>
  <si>
    <t>041109001007</t>
  </si>
  <si>
    <t>企业标志</t>
  </si>
  <si>
    <t>1.2.5</t>
  </si>
  <si>
    <t>041109001008</t>
  </si>
  <si>
    <t>场容场貌</t>
  </si>
  <si>
    <t>1.2.6</t>
  </si>
  <si>
    <t>041109001009</t>
  </si>
  <si>
    <t>材料堆放</t>
  </si>
  <si>
    <t>1.2.7</t>
  </si>
  <si>
    <t>041109001010</t>
  </si>
  <si>
    <t>现场防火</t>
  </si>
  <si>
    <t>1.2.8</t>
  </si>
  <si>
    <t>041109001011</t>
  </si>
  <si>
    <t>垃圾清运</t>
  </si>
  <si>
    <t>临时设施</t>
  </si>
  <si>
    <t>1.3.1</t>
  </si>
  <si>
    <t>041109001012</t>
  </si>
  <si>
    <t>现场办公设施</t>
  </si>
  <si>
    <t>1.3.2</t>
  </si>
  <si>
    <t>041109001013</t>
  </si>
  <si>
    <t>现场宿舍设施</t>
  </si>
  <si>
    <t>1.3.3</t>
  </si>
  <si>
    <t>041109001014</t>
  </si>
  <si>
    <t>现场食堂生活设施</t>
  </si>
  <si>
    <t>1.3.4</t>
  </si>
  <si>
    <t>041109001015</t>
  </si>
  <si>
    <t>现场厕所、浴室、开水房等设施</t>
  </si>
  <si>
    <t>1.3.5</t>
  </si>
  <si>
    <t>041109001016</t>
  </si>
  <si>
    <t>水泥仓库</t>
  </si>
  <si>
    <t>1.3.6</t>
  </si>
  <si>
    <t>041109001017</t>
  </si>
  <si>
    <t>木工棚、钢筋棚</t>
  </si>
  <si>
    <t>1.3.7</t>
  </si>
  <si>
    <t>041109001018</t>
  </si>
  <si>
    <t>其他库房</t>
  </si>
  <si>
    <t>1.3.8</t>
  </si>
  <si>
    <t>041109001019</t>
  </si>
  <si>
    <t>配电线路</t>
  </si>
  <si>
    <t>1.3.9</t>
  </si>
  <si>
    <t>041109001020</t>
  </si>
  <si>
    <t>配电箱开关箱</t>
  </si>
  <si>
    <t>1.3.10</t>
  </si>
  <si>
    <t>041109001021</t>
  </si>
  <si>
    <t>接地保护装置</t>
  </si>
  <si>
    <t>1.3.11</t>
  </si>
  <si>
    <t>041109001022</t>
  </si>
  <si>
    <t>供水管线</t>
  </si>
  <si>
    <t>1.3.12</t>
  </si>
  <si>
    <t>041109001023</t>
  </si>
  <si>
    <t>排水管线</t>
  </si>
  <si>
    <t>1.3.13</t>
  </si>
  <si>
    <t>041109001024</t>
  </si>
  <si>
    <t>沉淀池</t>
  </si>
  <si>
    <t>1.3.14</t>
  </si>
  <si>
    <t>041109001025</t>
  </si>
  <si>
    <t>临时道路</t>
  </si>
  <si>
    <t>1.3.15</t>
  </si>
  <si>
    <t>041109001026</t>
  </si>
  <si>
    <t>硬地坪</t>
  </si>
  <si>
    <t>安全施工</t>
  </si>
  <si>
    <t>1.4.1</t>
  </si>
  <si>
    <t>041109001027</t>
  </si>
  <si>
    <t>楼板、屋面、阳台等临时防护</t>
  </si>
  <si>
    <t>1.4.2</t>
  </si>
  <si>
    <t>041109001028</t>
  </si>
  <si>
    <t>通道口防护</t>
  </si>
  <si>
    <t>1.4.3</t>
  </si>
  <si>
    <t>041109001029</t>
  </si>
  <si>
    <t>预留洞口防护</t>
  </si>
  <si>
    <t>1.4.4</t>
  </si>
  <si>
    <t>041109001030</t>
  </si>
  <si>
    <t>电梯井口防护</t>
  </si>
  <si>
    <t>1.4.5</t>
  </si>
  <si>
    <t>041109001031</t>
  </si>
  <si>
    <t>楼梯边防护</t>
  </si>
  <si>
    <t>1.4.6</t>
  </si>
  <si>
    <t>041109001032</t>
  </si>
  <si>
    <t>垂直方向交叉作业防护</t>
  </si>
  <si>
    <t>1.4.7</t>
  </si>
  <si>
    <t>041109001033</t>
  </si>
  <si>
    <t>高空作业防护</t>
  </si>
  <si>
    <t>1.4.8</t>
  </si>
  <si>
    <t>041109001034</t>
  </si>
  <si>
    <t>操作平台交叉作业</t>
  </si>
  <si>
    <t>1.4.9</t>
  </si>
  <si>
    <t>041109001035</t>
  </si>
  <si>
    <t>作业人员具备必要的安全帽、安全带等安全防护用品</t>
  </si>
  <si>
    <t>其他措施项目</t>
  </si>
  <si>
    <t>041109002</t>
  </si>
  <si>
    <t>夜间施工</t>
  </si>
  <si>
    <t>041109003</t>
  </si>
  <si>
    <t>二次搬运</t>
  </si>
  <si>
    <t>2.3</t>
  </si>
  <si>
    <t>041109004</t>
  </si>
  <si>
    <t>冬雨季施工</t>
  </si>
  <si>
    <t>2.4</t>
  </si>
  <si>
    <t>041109005</t>
  </si>
  <si>
    <t>行车、行人干扰</t>
  </si>
  <si>
    <t>2.5</t>
  </si>
  <si>
    <t>041109006</t>
  </si>
  <si>
    <t>地上、地下设施、建筑物的临时保护设施</t>
  </si>
  <si>
    <t>2.6</t>
  </si>
  <si>
    <t>041109007</t>
  </si>
  <si>
    <t>已完工程及设备保护</t>
  </si>
  <si>
    <t>2.7</t>
  </si>
  <si>
    <t>041110001</t>
  </si>
  <si>
    <t>竣工文件编制费</t>
  </si>
  <si>
    <t>2.8</t>
  </si>
  <si>
    <t>041110002</t>
  </si>
  <si>
    <t>信息化系统（智慧工地）</t>
  </si>
  <si>
    <t>2.9</t>
  </si>
  <si>
    <t>041110003</t>
  </si>
  <si>
    <t>临时借地</t>
  </si>
  <si>
    <t>2.10</t>
  </si>
  <si>
    <t>041110004</t>
  </si>
  <si>
    <t>既有公共基础设施（市政、公路、水务等）设施接管、养护、移交</t>
  </si>
  <si>
    <t>2.11</t>
  </si>
  <si>
    <t>041110005</t>
  </si>
  <si>
    <t>交通组织及配合</t>
  </si>
  <si>
    <t>2.12</t>
  </si>
  <si>
    <t>041110006</t>
  </si>
  <si>
    <t>相邻标段施工协调配合费</t>
  </si>
  <si>
    <t>2.13</t>
  </si>
  <si>
    <t>041110007</t>
  </si>
  <si>
    <t>相关行政、行业管理部门协调</t>
  </si>
  <si>
    <t>2.14</t>
  </si>
  <si>
    <t>041110008</t>
  </si>
  <si>
    <t>试验检测配合费</t>
  </si>
  <si>
    <t>2.15</t>
  </si>
  <si>
    <t>041110009</t>
  </si>
  <si>
    <t>临时接水、接电</t>
  </si>
  <si>
    <t>2.16</t>
  </si>
  <si>
    <t>041110010</t>
  </si>
  <si>
    <t>临时市政管网排水</t>
  </si>
  <si>
    <t>2.17</t>
  </si>
  <si>
    <t>041110011</t>
  </si>
  <si>
    <t>施工临时通讯设施</t>
  </si>
  <si>
    <t>2.18</t>
  </si>
  <si>
    <t>041110012</t>
  </si>
  <si>
    <t>施工便道修建、养护、拆除</t>
  </si>
  <si>
    <t>2.19</t>
  </si>
  <si>
    <t>041110013</t>
  </si>
  <si>
    <t>沿线建(构)筑物及市政公用设施检测、监测、保护及加固措施费</t>
  </si>
  <si>
    <t>2.20</t>
  </si>
  <si>
    <t>041110014</t>
  </si>
  <si>
    <t>管线监测、保护、加固及搬迁协调配合</t>
  </si>
  <si>
    <t>2.21</t>
  </si>
  <si>
    <t>041110015</t>
  </si>
  <si>
    <t>环境保护监测</t>
  </si>
  <si>
    <t>2.22</t>
  </si>
  <si>
    <t>041110016</t>
  </si>
  <si>
    <t>验收、移交、接管配合</t>
  </si>
  <si>
    <t>2.23</t>
  </si>
  <si>
    <t>041110017</t>
  </si>
  <si>
    <t>大体积混凝土施工措施</t>
  </si>
  <si>
    <t>2.24</t>
  </si>
  <si>
    <t>041110018</t>
  </si>
  <si>
    <t>渣土及建筑垃圾等障碍物清运</t>
  </si>
  <si>
    <t>2.25</t>
  </si>
  <si>
    <t>041110019</t>
  </si>
  <si>
    <t>栈桥板修建、养护、拆除</t>
  </si>
  <si>
    <t>2.26</t>
  </si>
  <si>
    <t>041110020</t>
  </si>
  <si>
    <t>水域施工（海事、水务、港监等）协调配合费</t>
  </si>
  <si>
    <t>2.27</t>
  </si>
  <si>
    <t>041110021</t>
  </si>
  <si>
    <t>大型机械设备进出场及安拆</t>
  </si>
  <si>
    <t>2.28</t>
  </si>
  <si>
    <t>041110022</t>
  </si>
  <si>
    <t>围堰（含筑拆、维护、围堰内抽水等）</t>
  </si>
  <si>
    <t>2.29</t>
  </si>
  <si>
    <t>041110023</t>
  </si>
  <si>
    <t>覆罩法施工</t>
  </si>
  <si>
    <t>2.30</t>
  </si>
  <si>
    <t>041110024</t>
  </si>
  <si>
    <t>工程保险</t>
  </si>
  <si>
    <t>2.31</t>
  </si>
  <si>
    <t>041110025</t>
  </si>
  <si>
    <t>其它（承包人认为已列项目以外的）</t>
  </si>
  <si>
    <t>2.31.1</t>
  </si>
  <si>
    <t>垂直运输</t>
  </si>
  <si>
    <t>2.31.2</t>
  </si>
  <si>
    <t>创优评奖及各类宣传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</si>
</sst>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"/>
    <numFmt numFmtId="178" formatCode="0.00_ "/>
  </numFmts>
  <fonts count="34">
    <font>
      <sz val="9"/>
      <color theme="1"/>
      <name val="宋体"/>
      <charset val="134"/>
      <scheme val="minor"/>
    </font>
    <font>
      <sz val="9"/>
      <name val="宋体"/>
      <charset val="134"/>
    </font>
    <font>
      <sz val="10"/>
      <name val="Arial"/>
      <charset val="134"/>
    </font>
    <font>
      <sz val="9"/>
      <color indexed="8"/>
      <name val="宋体"/>
      <charset val="134"/>
    </font>
    <font>
      <b/>
      <sz val="9"/>
      <color indexed="10"/>
      <name val="宋体"/>
      <charset val="134"/>
    </font>
    <font>
      <b/>
      <sz val="9"/>
      <color indexed="8"/>
      <name val="宋体"/>
      <charset val="134"/>
    </font>
    <font>
      <sz val="9"/>
      <color indexed="10"/>
      <name val="宋体"/>
      <charset val="134"/>
    </font>
    <font>
      <b/>
      <sz val="22"/>
      <name val="黑体"/>
      <charset val="134"/>
    </font>
    <font>
      <b/>
      <sz val="24"/>
      <name val="黑体"/>
      <charset val="134"/>
    </font>
    <font>
      <sz val="1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17" applyNumberFormat="0" applyAlignment="0" applyProtection="0">
      <alignment vertical="center"/>
    </xf>
    <xf numFmtId="0" fontId="24" fillId="5" borderId="18" applyNumberFormat="0" applyAlignment="0" applyProtection="0">
      <alignment vertical="center"/>
    </xf>
    <xf numFmtId="0" fontId="25" fillId="5" borderId="17" applyNumberFormat="0" applyAlignment="0" applyProtection="0">
      <alignment vertical="center"/>
    </xf>
    <xf numFmtId="0" fontId="26" fillId="6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/>
    <xf numFmtId="0" fontId="2" fillId="0" borderId="0"/>
  </cellStyleXfs>
  <cellXfs count="50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left" vertical="center" wrapText="1"/>
    </xf>
    <xf numFmtId="0" fontId="1" fillId="2" borderId="3" xfId="49" applyFont="1" applyFill="1" applyBorder="1" applyAlignment="1">
      <alignment horizontal="right" vertical="center" wrapText="1"/>
    </xf>
    <xf numFmtId="2" fontId="1" fillId="2" borderId="4" xfId="49" applyNumberFormat="1" applyFont="1" applyFill="1" applyBorder="1" applyAlignment="1">
      <alignment horizontal="center" vertical="center" wrapText="1"/>
    </xf>
    <xf numFmtId="0" fontId="2" fillId="0" borderId="0" xfId="50"/>
    <xf numFmtId="0" fontId="3" fillId="0" borderId="4" xfId="50" applyFont="1" applyBorder="1" applyAlignment="1">
      <alignment horizontal="center" vertical="center" wrapText="1"/>
    </xf>
    <xf numFmtId="0" fontId="4" fillId="0" borderId="4" xfId="50" applyFont="1" applyBorder="1" applyAlignment="1">
      <alignment horizontal="justify" vertical="center" wrapText="1"/>
    </xf>
    <xf numFmtId="0" fontId="5" fillId="0" borderId="4" xfId="50" applyFont="1" applyBorder="1" applyAlignment="1">
      <alignment horizontal="left" vertical="center" wrapText="1"/>
    </xf>
    <xf numFmtId="0" fontId="5" fillId="0" borderId="4" xfId="50" applyFont="1" applyBorder="1" applyAlignment="1">
      <alignment horizontal="right" vertical="center" wrapText="1"/>
    </xf>
    <xf numFmtId="0" fontId="6" fillId="0" borderId="4" xfId="50" applyFont="1" applyBorder="1" applyAlignment="1">
      <alignment horizontal="justify" vertical="center" wrapText="1"/>
    </xf>
    <xf numFmtId="0" fontId="3" fillId="0" borderId="4" xfId="50" applyFont="1" applyBorder="1" applyAlignment="1">
      <alignment horizontal="left" vertical="center" wrapText="1"/>
    </xf>
    <xf numFmtId="0" fontId="3" fillId="0" borderId="4" xfId="50" applyFont="1" applyBorder="1" applyAlignment="1">
      <alignment horizontal="right" vertical="center" wrapText="1"/>
    </xf>
    <xf numFmtId="0" fontId="7" fillId="2" borderId="0" xfId="49" applyFont="1" applyFill="1" applyAlignment="1">
      <alignment horizontal="center" vertical="center" wrapText="1"/>
    </xf>
    <xf numFmtId="0" fontId="8" fillId="2" borderId="0" xfId="49" applyFont="1" applyFill="1" applyAlignment="1">
      <alignment horizontal="center" vertical="center" wrapText="1"/>
    </xf>
    <xf numFmtId="0" fontId="9" fillId="2" borderId="0" xfId="49" applyFont="1" applyFill="1" applyAlignment="1">
      <alignment horizontal="left" wrapText="1"/>
    </xf>
    <xf numFmtId="0" fontId="10" fillId="2" borderId="0" xfId="49" applyFont="1" applyFill="1" applyAlignment="1">
      <alignment horizontal="left" wrapText="1"/>
    </xf>
    <xf numFmtId="0" fontId="1" fillId="2" borderId="0" xfId="49" applyFont="1" applyFill="1" applyAlignment="1">
      <alignment horizontal="right" wrapText="1"/>
    </xf>
    <xf numFmtId="0" fontId="11" fillId="2" borderId="5" xfId="49" applyFont="1" applyFill="1" applyBorder="1" applyAlignment="1">
      <alignment horizontal="center" vertical="center" wrapText="1"/>
    </xf>
    <xf numFmtId="0" fontId="11" fillId="2" borderId="6" xfId="49" applyFont="1" applyFill="1" applyBorder="1" applyAlignment="1">
      <alignment horizontal="center" vertical="center" wrapText="1"/>
    </xf>
    <xf numFmtId="0" fontId="11" fillId="2" borderId="7" xfId="49" applyFont="1" applyFill="1" applyBorder="1" applyAlignment="1">
      <alignment horizontal="center" vertical="center" wrapText="1"/>
    </xf>
    <xf numFmtId="0" fontId="11" fillId="2" borderId="1" xfId="49" applyFont="1" applyFill="1" applyBorder="1" applyAlignment="1">
      <alignment horizontal="center" vertical="center" wrapText="1"/>
    </xf>
    <xf numFmtId="0" fontId="11" fillId="2" borderId="2" xfId="49" applyFont="1" applyFill="1" applyBorder="1" applyAlignment="1">
      <alignment horizontal="center" vertical="center" wrapText="1"/>
    </xf>
    <xf numFmtId="0" fontId="11" fillId="2" borderId="8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left" vertical="center" wrapText="1"/>
    </xf>
    <xf numFmtId="0" fontId="12" fillId="2" borderId="2" xfId="49" applyFont="1" applyFill="1" applyBorder="1" applyAlignment="1">
      <alignment horizontal="center" vertical="center" wrapText="1"/>
    </xf>
    <xf numFmtId="0" fontId="1" fillId="2" borderId="8" xfId="49" applyFont="1" applyFill="1" applyBorder="1" applyAlignment="1">
      <alignment horizontal="left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right" vertical="center" wrapText="1"/>
    </xf>
    <xf numFmtId="0" fontId="10" fillId="2" borderId="1" xfId="49" applyFont="1" applyFill="1" applyBorder="1" applyAlignment="1">
      <alignment horizontal="center" vertical="center" wrapText="1"/>
    </xf>
    <xf numFmtId="0" fontId="10" fillId="2" borderId="2" xfId="49" applyFont="1" applyFill="1" applyBorder="1" applyAlignment="1">
      <alignment horizontal="center" vertical="center" wrapText="1"/>
    </xf>
    <xf numFmtId="0" fontId="12" fillId="2" borderId="8" xfId="49" applyFont="1" applyFill="1" applyBorder="1" applyAlignment="1">
      <alignment horizontal="right" vertical="center" wrapText="1"/>
    </xf>
    <xf numFmtId="0" fontId="1" fillId="2" borderId="9" xfId="49" applyFont="1" applyFill="1" applyBorder="1" applyAlignment="1">
      <alignment horizontal="center" vertical="center" wrapText="1"/>
    </xf>
    <xf numFmtId="0" fontId="1" fillId="2" borderId="10" xfId="49" applyFont="1" applyFill="1" applyBorder="1" applyAlignment="1">
      <alignment horizontal="center" vertical="center" wrapText="1"/>
    </xf>
    <xf numFmtId="0" fontId="12" fillId="2" borderId="11" xfId="49" applyFont="1" applyFill="1" applyBorder="1" applyAlignment="1">
      <alignment horizontal="right" vertical="center" wrapText="1"/>
    </xf>
    <xf numFmtId="0" fontId="1" fillId="2" borderId="0" xfId="49" applyFont="1" applyFill="1" applyAlignment="1">
      <alignment horizontal="center" vertical="center" wrapText="1"/>
    </xf>
    <xf numFmtId="0" fontId="12" fillId="2" borderId="0" xfId="49" applyFont="1" applyFill="1" applyAlignment="1">
      <alignment horizontal="right" vertical="center" wrapText="1"/>
    </xf>
    <xf numFmtId="0" fontId="1" fillId="2" borderId="0" xfId="49" applyFont="1" applyFill="1" applyAlignment="1">
      <alignment horizontal="left" vertical="center" wrapText="1"/>
    </xf>
    <xf numFmtId="0" fontId="1" fillId="2" borderId="0" xfId="49" applyFont="1" applyFill="1" applyAlignment="1">
      <alignment horizontal="right" vertical="center" wrapText="1"/>
    </xf>
    <xf numFmtId="0" fontId="8" fillId="2" borderId="0" xfId="49" applyFont="1" applyFill="1" applyAlignment="1">
      <alignment horizontal="right" vertical="center" wrapText="1"/>
    </xf>
    <xf numFmtId="176" fontId="0" fillId="0" borderId="0" xfId="0" applyNumberFormat="1"/>
    <xf numFmtId="0" fontId="11" fillId="2" borderId="12" xfId="49" applyFont="1" applyFill="1" applyBorder="1" applyAlignment="1">
      <alignment horizontal="center" vertical="center" wrapText="1"/>
    </xf>
    <xf numFmtId="0" fontId="13" fillId="2" borderId="2" xfId="49" applyFont="1" applyFill="1" applyBorder="1" applyAlignment="1">
      <alignment horizontal="left" vertical="center" wrapText="1"/>
    </xf>
    <xf numFmtId="177" fontId="0" fillId="0" borderId="0" xfId="0" applyNumberFormat="1"/>
    <xf numFmtId="2" fontId="0" fillId="0" borderId="4" xfId="0" applyNumberFormat="1" applyBorder="1" applyAlignment="1">
      <alignment horizontal="center"/>
    </xf>
    <xf numFmtId="178" fontId="0" fillId="0" borderId="0" xfId="0" applyNumberFormat="1"/>
    <xf numFmtId="4" fontId="0" fillId="0" borderId="0" xfId="0" applyNumberFormat="1"/>
    <xf numFmtId="0" fontId="1" fillId="2" borderId="10" xfId="49" applyFont="1" applyFill="1" applyBorder="1" applyAlignment="1">
      <alignment horizontal="left" vertical="center" wrapText="1"/>
    </xf>
    <xf numFmtId="0" fontId="1" fillId="2" borderId="13" xfId="49" applyFont="1" applyFill="1" applyBorder="1" applyAlignment="1">
      <alignment horizontal="righ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showGridLines="0" workbookViewId="0">
      <selection activeCell="D38" sqref="D38"/>
    </sheetView>
  </sheetViews>
  <sheetFormatPr defaultColWidth="9" defaultRowHeight="12"/>
  <cols>
    <col min="1" max="1" width="10.2222222222222" customWidth="1"/>
    <col min="2" max="2" width="26.2222222222222" customWidth="1"/>
    <col min="3" max="3" width="1.44444444444444" customWidth="1"/>
    <col min="4" max="4" width="49.3333333333333" customWidth="1"/>
    <col min="5" max="5" width="9.66666666666667" customWidth="1"/>
    <col min="6" max="6" width="16.1111111111111" customWidth="1"/>
    <col min="8" max="8" width="15" customWidth="1"/>
    <col min="12" max="13" width="16.1111111111111" customWidth="1"/>
  </cols>
  <sheetData>
    <row r="1" ht="48" customHeight="1" spans="1:13">
      <c r="A1" s="14" t="s">
        <v>0</v>
      </c>
      <c r="B1" s="14"/>
      <c r="C1" s="14"/>
      <c r="D1" s="14"/>
      <c r="E1" s="40"/>
      <c r="F1" s="40"/>
    </row>
    <row r="2" ht="25.5" customHeight="1" spans="1:13">
      <c r="A2" s="16" t="s">
        <v>1</v>
      </c>
      <c r="B2" s="16"/>
      <c r="C2" s="16"/>
      <c r="D2" s="16"/>
      <c r="E2" s="17" t="s">
        <v>2</v>
      </c>
      <c r="F2" s="17"/>
      <c r="L2" s="41"/>
    </row>
    <row r="3" ht="24" customHeight="1" spans="1:13">
      <c r="A3" s="18" t="s">
        <v>3</v>
      </c>
      <c r="B3" s="19" t="s">
        <v>4</v>
      </c>
      <c r="C3" s="19" t="s">
        <v>5</v>
      </c>
      <c r="D3" s="19"/>
      <c r="E3" s="19" t="s">
        <v>6</v>
      </c>
      <c r="F3" s="42" t="s">
        <v>7</v>
      </c>
    </row>
    <row r="4" ht="21" customHeight="1" spans="1:13">
      <c r="A4" s="1" t="s">
        <v>8</v>
      </c>
      <c r="B4" s="43" t="s">
        <v>9</v>
      </c>
      <c r="C4" s="2"/>
      <c r="D4" s="2"/>
      <c r="E4" s="3"/>
      <c r="F4" s="4">
        <f>SUM(F5:F15)</f>
        <v>1578041728.7</v>
      </c>
      <c r="H4" s="44"/>
    </row>
    <row r="5" ht="25.5" hidden="1" customHeight="1" spans="1:13">
      <c r="A5" s="1" t="s">
        <v>10</v>
      </c>
      <c r="B5" s="2" t="s">
        <v>11</v>
      </c>
      <c r="C5" s="2"/>
      <c r="D5" s="2"/>
      <c r="E5" s="3"/>
      <c r="F5" s="45">
        <v>1093496377.2</v>
      </c>
      <c r="M5" s="46"/>
    </row>
    <row r="6" ht="21" hidden="1" customHeight="1" spans="1:13">
      <c r="A6" s="1" t="s">
        <v>12</v>
      </c>
      <c r="B6" s="2" t="s">
        <v>13</v>
      </c>
      <c r="C6" s="2"/>
      <c r="D6" s="2"/>
      <c r="E6" s="3"/>
      <c r="F6" s="45">
        <v>25842554.86</v>
      </c>
      <c r="M6" s="46"/>
    </row>
    <row r="7" ht="21" hidden="1" customHeight="1" spans="1:13">
      <c r="A7" s="1" t="s">
        <v>14</v>
      </c>
      <c r="B7" s="2" t="s">
        <v>15</v>
      </c>
      <c r="C7" s="2"/>
      <c r="D7" s="2"/>
      <c r="E7" s="3"/>
      <c r="F7" s="45">
        <v>130148826.36</v>
      </c>
      <c r="M7" s="46"/>
    </row>
    <row r="8" ht="21" hidden="1" customHeight="1" spans="1:13">
      <c r="A8" s="1" t="s">
        <v>16</v>
      </c>
      <c r="B8" s="2" t="s">
        <v>17</v>
      </c>
      <c r="C8" s="2"/>
      <c r="D8" s="2"/>
      <c r="E8" s="3"/>
      <c r="F8" s="45">
        <v>107579535.83</v>
      </c>
      <c r="M8" s="46"/>
    </row>
    <row r="9" ht="21" hidden="1" customHeight="1" spans="1:13">
      <c r="A9" s="1" t="s">
        <v>18</v>
      </c>
      <c r="B9" s="2" t="s">
        <v>19</v>
      </c>
      <c r="C9" s="2"/>
      <c r="D9" s="2"/>
      <c r="E9" s="3"/>
      <c r="F9" s="45">
        <v>123304722.37</v>
      </c>
      <c r="M9" s="46"/>
    </row>
    <row r="10" ht="21" hidden="1" customHeight="1" spans="1:13">
      <c r="A10" s="1" t="s">
        <v>20</v>
      </c>
      <c r="B10" s="2" t="s">
        <v>21</v>
      </c>
      <c r="C10" s="2"/>
      <c r="D10" s="2"/>
      <c r="E10" s="3"/>
      <c r="F10" s="45">
        <v>3689486.46</v>
      </c>
      <c r="M10" s="46"/>
    </row>
    <row r="11" ht="21" hidden="1" customHeight="1" spans="1:13">
      <c r="A11" s="1" t="s">
        <v>22</v>
      </c>
      <c r="B11" s="2" t="s">
        <v>23</v>
      </c>
      <c r="C11" s="2"/>
      <c r="D11" s="2"/>
      <c r="E11" s="3"/>
      <c r="F11" s="45">
        <v>29557059.35</v>
      </c>
      <c r="M11" s="46"/>
    </row>
    <row r="12" ht="21" hidden="1" customHeight="1" spans="1:13">
      <c r="A12" s="1" t="s">
        <v>24</v>
      </c>
      <c r="B12" s="2" t="s">
        <v>25</v>
      </c>
      <c r="C12" s="2"/>
      <c r="D12" s="2"/>
      <c r="E12" s="3"/>
      <c r="F12" s="45">
        <v>51294578.9</v>
      </c>
      <c r="M12" s="46"/>
    </row>
    <row r="13" ht="21" hidden="1" customHeight="1" spans="1:13">
      <c r="A13" s="1" t="s">
        <v>26</v>
      </c>
      <c r="B13" s="2" t="s">
        <v>27</v>
      </c>
      <c r="C13" s="2"/>
      <c r="D13" s="2"/>
      <c r="E13" s="3"/>
      <c r="F13" s="45">
        <v>8852362.46</v>
      </c>
      <c r="M13" s="46"/>
    </row>
    <row r="14" ht="21" hidden="1" customHeight="1" spans="1:13">
      <c r="A14" s="1" t="s">
        <v>28</v>
      </c>
      <c r="B14" s="2" t="s">
        <v>29</v>
      </c>
      <c r="C14" s="2"/>
      <c r="D14" s="2"/>
      <c r="E14" s="3"/>
      <c r="F14" s="45">
        <v>2355024.13</v>
      </c>
      <c r="M14" s="46"/>
    </row>
    <row r="15" ht="21" hidden="1" customHeight="1" spans="1:13">
      <c r="A15" s="1" t="s">
        <v>30</v>
      </c>
      <c r="B15" s="2" t="s">
        <v>31</v>
      </c>
      <c r="C15" s="2"/>
      <c r="D15" s="2"/>
      <c r="E15" s="3"/>
      <c r="F15" s="45">
        <v>1921200.78</v>
      </c>
      <c r="M15" s="46"/>
    </row>
    <row r="16" ht="21" customHeight="1" spans="1:13">
      <c r="A16" s="1" t="s">
        <v>32</v>
      </c>
      <c r="B16" s="43" t="s">
        <v>33</v>
      </c>
      <c r="C16" s="2" t="s">
        <v>34</v>
      </c>
      <c r="D16" s="2"/>
      <c r="E16" s="3"/>
      <c r="F16" s="4">
        <v>213590000</v>
      </c>
      <c r="L16" s="47"/>
      <c r="M16" s="46"/>
    </row>
    <row r="17" ht="21" customHeight="1" spans="1:13">
      <c r="A17" s="1" t="s">
        <v>35</v>
      </c>
      <c r="B17" s="2" t="s">
        <v>36</v>
      </c>
      <c r="C17" s="2" t="s">
        <v>37</v>
      </c>
      <c r="D17" s="2"/>
      <c r="E17" s="3"/>
      <c r="F17" s="4">
        <v>213590000</v>
      </c>
    </row>
    <row r="18" ht="21" customHeight="1" spans="1:13">
      <c r="A18" s="1" t="s">
        <v>38</v>
      </c>
      <c r="B18" s="2" t="s">
        <v>39</v>
      </c>
      <c r="C18" s="2" t="s">
        <v>39</v>
      </c>
      <c r="D18" s="2"/>
      <c r="E18" s="3"/>
      <c r="F18" s="4"/>
    </row>
    <row r="19" ht="21" customHeight="1" spans="1:13">
      <c r="A19" s="1">
        <v>3</v>
      </c>
      <c r="B19" s="2" t="s">
        <v>40</v>
      </c>
      <c r="C19" s="2" t="s">
        <v>41</v>
      </c>
      <c r="D19" s="2"/>
      <c r="E19" s="3">
        <v>9</v>
      </c>
      <c r="F19" s="4">
        <v>161246855.57</v>
      </c>
      <c r="L19" s="46"/>
      <c r="M19" s="46"/>
    </row>
    <row r="20" ht="21" customHeight="1" spans="1:13">
      <c r="A20" s="33">
        <v>4</v>
      </c>
      <c r="B20" s="48" t="s">
        <v>42</v>
      </c>
      <c r="C20" s="48" t="s">
        <v>43</v>
      </c>
      <c r="D20" s="48"/>
      <c r="E20" s="49"/>
      <c r="F20" s="4">
        <f>F4+F16+F19</f>
        <v>1952878584.27</v>
      </c>
    </row>
    <row r="21" ht="18" customHeight="1" spans="1:13">
      <c r="A21" s="38"/>
      <c r="B21" s="38"/>
      <c r="C21" s="38"/>
      <c r="D21" s="36"/>
      <c r="E21" s="39" t="s">
        <v>44</v>
      </c>
      <c r="F21" s="39"/>
    </row>
  </sheetData>
  <mergeCells count="23">
    <mergeCell ref="A1:F1"/>
    <mergeCell ref="A2:D2"/>
    <mergeCell ref="E2:F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1:C21"/>
    <mergeCell ref="E21:F21"/>
  </mergeCells>
  <printOptions horizontalCentered="1"/>
  <pageMargins left="0.397666666666667" right="0.0018333333333333" top="0.59375" bottom="0" header="0.59375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5"/>
  <sheetViews>
    <sheetView showGridLines="0" tabSelected="1" workbookViewId="0">
      <selection activeCell="M7" sqref="M7"/>
    </sheetView>
  </sheetViews>
  <sheetFormatPr defaultColWidth="9" defaultRowHeight="12" outlineLevelCol="6"/>
  <cols>
    <col min="1" max="1" width="8.33333333333333" customWidth="1"/>
    <col min="2" max="2" width="16.7777777777778" customWidth="1"/>
    <col min="3" max="3" width="36.7777777777778" customWidth="1"/>
    <col min="4" max="4" width="8.22222222222222" customWidth="1"/>
    <col min="5" max="5" width="9.33333333333333" customWidth="1"/>
    <col min="6" max="6" width="13.2222222222222" customWidth="1"/>
    <col min="7" max="7" width="17.2222222222222" customWidth="1"/>
  </cols>
  <sheetData>
    <row r="1" ht="48" customHeight="1" spans="1:7">
      <c r="A1" s="13" t="s">
        <v>45</v>
      </c>
      <c r="B1" s="13"/>
      <c r="C1" s="13"/>
      <c r="D1" s="13"/>
      <c r="E1" s="13"/>
      <c r="F1" s="14"/>
      <c r="G1" s="14"/>
    </row>
    <row r="2" ht="28.5" customHeight="1" spans="1:7">
      <c r="A2" s="15" t="s">
        <v>46</v>
      </c>
      <c r="B2" s="16"/>
      <c r="C2" s="16"/>
      <c r="D2" s="16"/>
      <c r="E2" s="16"/>
      <c r="F2" s="17"/>
      <c r="G2" s="17"/>
    </row>
    <row r="3" ht="28.5" customHeight="1" spans="1:7">
      <c r="A3" s="18" t="s">
        <v>3</v>
      </c>
      <c r="B3" s="19" t="s">
        <v>47</v>
      </c>
      <c r="C3" s="19" t="s">
        <v>48</v>
      </c>
      <c r="D3" s="19" t="s">
        <v>49</v>
      </c>
      <c r="E3" s="19" t="s">
        <v>50</v>
      </c>
      <c r="F3" s="19" t="s">
        <v>51</v>
      </c>
      <c r="G3" s="20"/>
    </row>
    <row r="4" ht="28.5" customHeight="1" spans="1:7">
      <c r="A4" s="21"/>
      <c r="B4" s="22"/>
      <c r="C4" s="22"/>
      <c r="D4" s="22"/>
      <c r="E4" s="22"/>
      <c r="F4" s="22" t="s">
        <v>52</v>
      </c>
      <c r="G4" s="23" t="s">
        <v>53</v>
      </c>
    </row>
    <row r="5" ht="18" customHeight="1" spans="1:7">
      <c r="A5" s="24"/>
      <c r="B5" s="2"/>
      <c r="C5" s="25" t="s">
        <v>54</v>
      </c>
      <c r="D5" s="2"/>
      <c r="E5" s="2"/>
      <c r="F5" s="2"/>
      <c r="G5" s="26"/>
    </row>
    <row r="6" ht="21" customHeight="1" spans="1:7">
      <c r="A6" s="1">
        <v>1</v>
      </c>
      <c r="B6" s="2" t="s">
        <v>55</v>
      </c>
      <c r="C6" s="2" t="s">
        <v>56</v>
      </c>
      <c r="D6" s="27" t="s">
        <v>57</v>
      </c>
      <c r="E6" s="28">
        <v>70953.65</v>
      </c>
      <c r="F6" s="28">
        <v>2286.54</v>
      </c>
      <c r="G6" s="29" t="s">
        <v>58</v>
      </c>
    </row>
    <row r="7" ht="21" customHeight="1" spans="1:7">
      <c r="A7" s="1">
        <v>2</v>
      </c>
      <c r="B7" s="2" t="s">
        <v>59</v>
      </c>
      <c r="C7" s="2" t="s">
        <v>60</v>
      </c>
      <c r="D7" s="27" t="s">
        <v>57</v>
      </c>
      <c r="E7" s="28">
        <v>16155.12</v>
      </c>
      <c r="F7" s="28">
        <v>3439.59</v>
      </c>
      <c r="G7" s="29">
        <v>55566989.2</v>
      </c>
    </row>
    <row r="8" ht="21" customHeight="1" spans="1:7">
      <c r="A8" s="1">
        <v>3</v>
      </c>
      <c r="B8" s="2" t="s">
        <v>61</v>
      </c>
      <c r="C8" s="2" t="s">
        <v>62</v>
      </c>
      <c r="D8" s="27" t="s">
        <v>57</v>
      </c>
      <c r="E8" s="28">
        <v>10208.34</v>
      </c>
      <c r="F8" s="28">
        <v>2336.87</v>
      </c>
      <c r="G8" s="29">
        <v>23855563.5</v>
      </c>
    </row>
    <row r="9" ht="21" customHeight="1" spans="1:7">
      <c r="A9" s="1">
        <v>4</v>
      </c>
      <c r="B9" s="2" t="s">
        <v>63</v>
      </c>
      <c r="C9" s="2" t="s">
        <v>64</v>
      </c>
      <c r="D9" s="27" t="s">
        <v>57</v>
      </c>
      <c r="E9" s="28">
        <v>1509</v>
      </c>
      <c r="F9" s="28">
        <v>3618.28</v>
      </c>
      <c r="G9" s="29">
        <v>5459984.52</v>
      </c>
    </row>
    <row r="10" ht="21" customHeight="1" spans="1:7">
      <c r="A10" s="1">
        <v>5</v>
      </c>
      <c r="B10" s="2" t="s">
        <v>65</v>
      </c>
      <c r="C10" s="2" t="s">
        <v>66</v>
      </c>
      <c r="D10" s="27" t="s">
        <v>57</v>
      </c>
      <c r="E10" s="28">
        <v>3337</v>
      </c>
      <c r="F10" s="28">
        <v>2010.96</v>
      </c>
      <c r="G10" s="29">
        <v>6710573.52</v>
      </c>
    </row>
    <row r="11" ht="21" customHeight="1" spans="1:7">
      <c r="A11" s="1">
        <v>6</v>
      </c>
      <c r="B11" s="2" t="s">
        <v>67</v>
      </c>
      <c r="C11" s="2" t="s">
        <v>68</v>
      </c>
      <c r="D11" s="27" t="s">
        <v>69</v>
      </c>
      <c r="E11" s="28">
        <v>22332.54</v>
      </c>
      <c r="F11" s="28">
        <v>6853.51</v>
      </c>
      <c r="G11" s="29" t="s">
        <v>70</v>
      </c>
    </row>
    <row r="12" ht="21" customHeight="1" spans="1:7">
      <c r="A12" s="1">
        <v>7</v>
      </c>
      <c r="B12" s="2" t="s">
        <v>71</v>
      </c>
      <c r="C12" s="2" t="s">
        <v>72</v>
      </c>
      <c r="D12" s="27" t="s">
        <v>57</v>
      </c>
      <c r="E12" s="28">
        <v>38275.88</v>
      </c>
      <c r="F12" s="28">
        <v>249.23</v>
      </c>
      <c r="G12" s="29">
        <v>9539497.57</v>
      </c>
    </row>
    <row r="13" ht="21" customHeight="1" spans="1:7">
      <c r="A13" s="1">
        <v>8</v>
      </c>
      <c r="B13" s="2" t="s">
        <v>73</v>
      </c>
      <c r="C13" s="2" t="s">
        <v>74</v>
      </c>
      <c r="D13" s="27" t="s">
        <v>57</v>
      </c>
      <c r="E13" s="28">
        <v>20904.51</v>
      </c>
      <c r="F13" s="28">
        <v>2411.21</v>
      </c>
      <c r="G13" s="29" t="s">
        <v>75</v>
      </c>
    </row>
    <row r="14" ht="21" customHeight="1" spans="1:7">
      <c r="A14" s="1">
        <v>9</v>
      </c>
      <c r="B14" s="2" t="s">
        <v>76</v>
      </c>
      <c r="C14" s="2" t="s">
        <v>77</v>
      </c>
      <c r="D14" s="27" t="s">
        <v>57</v>
      </c>
      <c r="E14" s="28">
        <v>14025.48</v>
      </c>
      <c r="F14" s="28">
        <v>1968.5</v>
      </c>
      <c r="G14" s="29" t="s">
        <v>78</v>
      </c>
    </row>
    <row r="15" ht="21" customHeight="1" spans="1:7">
      <c r="A15" s="1">
        <v>10</v>
      </c>
      <c r="B15" s="2" t="s">
        <v>79</v>
      </c>
      <c r="C15" s="2" t="s">
        <v>80</v>
      </c>
      <c r="D15" s="27" t="s">
        <v>57</v>
      </c>
      <c r="E15" s="28">
        <v>672</v>
      </c>
      <c r="F15" s="28">
        <v>2135.3</v>
      </c>
      <c r="G15" s="29">
        <v>1434921.6</v>
      </c>
    </row>
    <row r="16" ht="21" customHeight="1" spans="1:7">
      <c r="A16" s="1">
        <v>11</v>
      </c>
      <c r="B16" s="2" t="s">
        <v>81</v>
      </c>
      <c r="C16" s="2" t="s">
        <v>82</v>
      </c>
      <c r="D16" s="27" t="s">
        <v>57</v>
      </c>
      <c r="E16" s="28">
        <v>677.88</v>
      </c>
      <c r="F16" s="28">
        <v>309.11</v>
      </c>
      <c r="G16" s="29">
        <v>209539.49</v>
      </c>
    </row>
    <row r="17" ht="21" customHeight="1" spans="1:7">
      <c r="A17" s="1">
        <v>12</v>
      </c>
      <c r="B17" s="2" t="s">
        <v>83</v>
      </c>
      <c r="C17" s="2" t="s">
        <v>84</v>
      </c>
      <c r="D17" s="27" t="s">
        <v>69</v>
      </c>
      <c r="E17" s="28">
        <v>240.5</v>
      </c>
      <c r="F17" s="28">
        <v>2116.6</v>
      </c>
      <c r="G17" s="29">
        <v>509042.3</v>
      </c>
    </row>
    <row r="18" ht="21" customHeight="1" spans="1:7">
      <c r="A18" s="1">
        <v>13</v>
      </c>
      <c r="B18" s="2" t="s">
        <v>85</v>
      </c>
      <c r="C18" s="2" t="s">
        <v>86</v>
      </c>
      <c r="D18" s="27" t="s">
        <v>57</v>
      </c>
      <c r="E18" s="28">
        <v>7650</v>
      </c>
      <c r="F18" s="28">
        <v>1198.1</v>
      </c>
      <c r="G18" s="29">
        <v>9165465</v>
      </c>
    </row>
    <row r="19" ht="21" customHeight="1" spans="1:7">
      <c r="A19" s="1">
        <v>14</v>
      </c>
      <c r="B19" s="2" t="s">
        <v>87</v>
      </c>
      <c r="C19" s="2" t="s">
        <v>88</v>
      </c>
      <c r="D19" s="27" t="s">
        <v>89</v>
      </c>
      <c r="E19" s="28">
        <v>6600</v>
      </c>
      <c r="F19" s="28">
        <v>1034.45</v>
      </c>
      <c r="G19" s="29">
        <v>6827370</v>
      </c>
    </row>
    <row r="20" ht="21" customHeight="1" spans="1:7">
      <c r="A20" s="1">
        <v>15</v>
      </c>
      <c r="B20" s="2" t="s">
        <v>90</v>
      </c>
      <c r="C20" s="2" t="s">
        <v>91</v>
      </c>
      <c r="D20" s="27" t="s">
        <v>69</v>
      </c>
      <c r="E20" s="28">
        <v>707.616</v>
      </c>
      <c r="F20" s="28">
        <v>7077.87</v>
      </c>
      <c r="G20" s="29">
        <v>5008414.06</v>
      </c>
    </row>
    <row r="21" ht="18" customHeight="1" spans="1:7">
      <c r="A21" s="30" t="s">
        <v>92</v>
      </c>
      <c r="B21" s="31"/>
      <c r="C21" s="31"/>
      <c r="D21" s="31"/>
      <c r="E21" s="31"/>
      <c r="F21" s="31"/>
      <c r="G21" s="32" t="s">
        <v>93</v>
      </c>
    </row>
    <row r="22" ht="18" customHeight="1" spans="1:7">
      <c r="A22" s="24"/>
      <c r="B22" s="2"/>
      <c r="C22" s="25" t="s">
        <v>94</v>
      </c>
      <c r="D22" s="2"/>
      <c r="E22" s="2"/>
      <c r="F22" s="2"/>
      <c r="G22" s="26"/>
    </row>
    <row r="23" ht="21" customHeight="1" spans="1:7">
      <c r="A23" s="1">
        <v>16</v>
      </c>
      <c r="B23" s="2" t="s">
        <v>95</v>
      </c>
      <c r="C23" s="2" t="s">
        <v>96</v>
      </c>
      <c r="D23" s="27" t="s">
        <v>57</v>
      </c>
      <c r="E23" s="28">
        <v>71354.87</v>
      </c>
      <c r="F23" s="28">
        <v>665.09</v>
      </c>
      <c r="G23" s="29" t="s">
        <v>97</v>
      </c>
    </row>
    <row r="24" ht="21" customHeight="1" spans="1:7">
      <c r="A24" s="1">
        <v>17</v>
      </c>
      <c r="B24" s="2" t="s">
        <v>98</v>
      </c>
      <c r="C24" s="2" t="s">
        <v>99</v>
      </c>
      <c r="D24" s="27" t="s">
        <v>57</v>
      </c>
      <c r="E24" s="28">
        <v>45189.5</v>
      </c>
      <c r="F24" s="28">
        <v>340.67</v>
      </c>
      <c r="G24" s="29" t="s">
        <v>100</v>
      </c>
    </row>
    <row r="25" ht="21" customHeight="1" spans="1:7">
      <c r="A25" s="1">
        <v>18</v>
      </c>
      <c r="B25" s="2" t="s">
        <v>101</v>
      </c>
      <c r="C25" s="2" t="s">
        <v>102</v>
      </c>
      <c r="D25" s="27" t="s">
        <v>57</v>
      </c>
      <c r="E25" s="28">
        <v>34906.13</v>
      </c>
      <c r="F25" s="28">
        <v>389.21</v>
      </c>
      <c r="G25" s="29" t="s">
        <v>103</v>
      </c>
    </row>
    <row r="26" ht="21" customHeight="1" spans="1:7">
      <c r="A26" s="1">
        <v>19</v>
      </c>
      <c r="B26" s="2" t="s">
        <v>104</v>
      </c>
      <c r="C26" s="2" t="s">
        <v>105</v>
      </c>
      <c r="D26" s="27" t="s">
        <v>57</v>
      </c>
      <c r="E26" s="28">
        <v>584</v>
      </c>
      <c r="F26" s="28">
        <v>1371.66</v>
      </c>
      <c r="G26" s="29">
        <v>801049.44</v>
      </c>
    </row>
    <row r="27" ht="18" customHeight="1" spans="1:7">
      <c r="A27" s="30" t="s">
        <v>106</v>
      </c>
      <c r="B27" s="31"/>
      <c r="C27" s="31"/>
      <c r="D27" s="31"/>
      <c r="E27" s="31"/>
      <c r="F27" s="31"/>
      <c r="G27" s="32" t="s">
        <v>107</v>
      </c>
    </row>
    <row r="28" ht="18" customHeight="1" spans="1:7">
      <c r="A28" s="24"/>
      <c r="B28" s="2"/>
      <c r="C28" s="25" t="s">
        <v>108</v>
      </c>
      <c r="D28" s="2"/>
      <c r="E28" s="2"/>
      <c r="F28" s="2"/>
      <c r="G28" s="26"/>
    </row>
    <row r="29" ht="21" customHeight="1" spans="1:7">
      <c r="A29" s="1">
        <v>20</v>
      </c>
      <c r="B29" s="2" t="s">
        <v>109</v>
      </c>
      <c r="C29" s="2" t="s">
        <v>110</v>
      </c>
      <c r="D29" s="27" t="s">
        <v>57</v>
      </c>
      <c r="E29" s="28">
        <v>3155.12</v>
      </c>
      <c r="F29" s="28">
        <v>642.67</v>
      </c>
      <c r="G29" s="29">
        <v>2027700.97</v>
      </c>
    </row>
    <row r="30" ht="21" customHeight="1" spans="1:7">
      <c r="A30" s="1">
        <v>21</v>
      </c>
      <c r="B30" s="2" t="s">
        <v>111</v>
      </c>
      <c r="C30" s="2" t="s">
        <v>112</v>
      </c>
      <c r="D30" s="27" t="s">
        <v>57</v>
      </c>
      <c r="E30" s="28">
        <v>2629.74</v>
      </c>
      <c r="F30" s="28">
        <v>1283.32</v>
      </c>
      <c r="G30" s="29">
        <v>3374797.94</v>
      </c>
    </row>
    <row r="31" ht="21" customHeight="1" spans="1:7">
      <c r="A31" s="1">
        <v>22</v>
      </c>
      <c r="B31" s="2" t="s">
        <v>113</v>
      </c>
      <c r="C31" s="2" t="s">
        <v>114</v>
      </c>
      <c r="D31" s="27" t="s">
        <v>57</v>
      </c>
      <c r="E31" s="28">
        <v>20907.62</v>
      </c>
      <c r="F31" s="28">
        <v>1312.14</v>
      </c>
      <c r="G31" s="29" t="s">
        <v>115</v>
      </c>
    </row>
    <row r="32" ht="21" customHeight="1" spans="1:7">
      <c r="A32" s="1">
        <v>23</v>
      </c>
      <c r="B32" s="2" t="s">
        <v>116</v>
      </c>
      <c r="C32" s="2" t="s">
        <v>117</v>
      </c>
      <c r="D32" s="27" t="s">
        <v>57</v>
      </c>
      <c r="E32" s="28">
        <v>10578.07</v>
      </c>
      <c r="F32" s="28">
        <v>1359.27</v>
      </c>
      <c r="G32" s="29" t="s">
        <v>118</v>
      </c>
    </row>
    <row r="33" ht="21" customHeight="1" spans="1:7">
      <c r="A33" s="1">
        <v>24</v>
      </c>
      <c r="B33" s="2" t="s">
        <v>119</v>
      </c>
      <c r="C33" s="2" t="s">
        <v>120</v>
      </c>
      <c r="D33" s="27" t="s">
        <v>57</v>
      </c>
      <c r="E33" s="28">
        <v>37270.43</v>
      </c>
      <c r="F33" s="28">
        <v>107.8</v>
      </c>
      <c r="G33" s="29">
        <v>4017752.35</v>
      </c>
    </row>
    <row r="34" ht="21" customHeight="1" spans="1:7">
      <c r="A34" s="1">
        <v>25</v>
      </c>
      <c r="B34" s="2" t="s">
        <v>121</v>
      </c>
      <c r="C34" s="2" t="s">
        <v>122</v>
      </c>
      <c r="D34" s="27" t="s">
        <v>69</v>
      </c>
      <c r="E34" s="28">
        <v>8982.512</v>
      </c>
      <c r="F34" s="28">
        <v>5848.35</v>
      </c>
      <c r="G34" s="29" t="s">
        <v>123</v>
      </c>
    </row>
    <row r="35" ht="21" customHeight="1" spans="1:7">
      <c r="A35" s="1">
        <v>26</v>
      </c>
      <c r="B35" s="2" t="s">
        <v>124</v>
      </c>
      <c r="C35" s="2" t="s">
        <v>125</v>
      </c>
      <c r="D35" s="27" t="s">
        <v>57</v>
      </c>
      <c r="E35" s="28">
        <v>2577.91</v>
      </c>
      <c r="F35" s="28">
        <v>826.76</v>
      </c>
      <c r="G35" s="29">
        <v>2131312.87</v>
      </c>
    </row>
    <row r="36" ht="21" customHeight="1" spans="1:7">
      <c r="A36" s="1">
        <v>27</v>
      </c>
      <c r="B36" s="2" t="s">
        <v>126</v>
      </c>
      <c r="C36" s="2" t="s">
        <v>127</v>
      </c>
      <c r="D36" s="27" t="s">
        <v>69</v>
      </c>
      <c r="E36" s="28">
        <v>670.257</v>
      </c>
      <c r="F36" s="28">
        <v>6015.53</v>
      </c>
      <c r="G36" s="29">
        <v>4031951.09</v>
      </c>
    </row>
    <row r="37" ht="21" customHeight="1" spans="1:7">
      <c r="A37" s="1">
        <v>28</v>
      </c>
      <c r="B37" s="2" t="s">
        <v>128</v>
      </c>
      <c r="C37" s="2" t="s">
        <v>129</v>
      </c>
      <c r="D37" s="27" t="s">
        <v>89</v>
      </c>
      <c r="E37" s="28">
        <v>8920</v>
      </c>
      <c r="F37" s="28">
        <v>1142.44</v>
      </c>
      <c r="G37" s="29">
        <v>10190564.8</v>
      </c>
    </row>
    <row r="38" ht="21" customHeight="1" spans="1:7">
      <c r="A38" s="1">
        <v>29</v>
      </c>
      <c r="B38" s="2" t="s">
        <v>130</v>
      </c>
      <c r="C38" s="2" t="s">
        <v>91</v>
      </c>
      <c r="D38" s="27" t="s">
        <v>69</v>
      </c>
      <c r="E38" s="28">
        <v>1241.331</v>
      </c>
      <c r="F38" s="28">
        <v>5842.92</v>
      </c>
      <c r="G38" s="29">
        <v>7252997.73</v>
      </c>
    </row>
    <row r="39" ht="21" customHeight="1" spans="1:7">
      <c r="A39" s="1">
        <v>30</v>
      </c>
      <c r="B39" s="2" t="s">
        <v>131</v>
      </c>
      <c r="C39" s="2" t="s">
        <v>132</v>
      </c>
      <c r="D39" s="27" t="s">
        <v>69</v>
      </c>
      <c r="E39" s="28">
        <v>3007.74</v>
      </c>
      <c r="F39" s="28">
        <v>6919.55</v>
      </c>
      <c r="G39" s="29" t="s">
        <v>133</v>
      </c>
    </row>
    <row r="40" ht="21" customHeight="1" spans="1:7">
      <c r="A40" s="1">
        <v>31</v>
      </c>
      <c r="B40" s="2" t="s">
        <v>134</v>
      </c>
      <c r="C40" s="2" t="s">
        <v>135</v>
      </c>
      <c r="D40" s="27" t="s">
        <v>69</v>
      </c>
      <c r="E40" s="28">
        <v>3384.665</v>
      </c>
      <c r="F40" s="28">
        <v>3571.89</v>
      </c>
      <c r="G40" s="29" t="s">
        <v>136</v>
      </c>
    </row>
    <row r="41" ht="21" customHeight="1" spans="1:7">
      <c r="A41" s="1">
        <v>32</v>
      </c>
      <c r="B41" s="2" t="s">
        <v>137</v>
      </c>
      <c r="C41" s="2" t="s">
        <v>138</v>
      </c>
      <c r="D41" s="27" t="s">
        <v>57</v>
      </c>
      <c r="E41" s="28">
        <v>314892.19</v>
      </c>
      <c r="F41" s="28">
        <v>88.18</v>
      </c>
      <c r="G41" s="29" t="s">
        <v>139</v>
      </c>
    </row>
    <row r="42" ht="21" customHeight="1" spans="1:7">
      <c r="A42" s="1">
        <v>33</v>
      </c>
      <c r="B42" s="2" t="s">
        <v>140</v>
      </c>
      <c r="C42" s="2" t="s">
        <v>141</v>
      </c>
      <c r="D42" s="27" t="s">
        <v>57</v>
      </c>
      <c r="E42" s="28">
        <v>35667.85</v>
      </c>
      <c r="F42" s="28">
        <v>28.18</v>
      </c>
      <c r="G42" s="29">
        <v>1005120.01</v>
      </c>
    </row>
    <row r="43" ht="21" customHeight="1" spans="1:7">
      <c r="A43" s="1">
        <v>34</v>
      </c>
      <c r="B43" s="2" t="s">
        <v>142</v>
      </c>
      <c r="C43" s="2" t="s">
        <v>120</v>
      </c>
      <c r="D43" s="27" t="s">
        <v>57</v>
      </c>
      <c r="E43" s="28">
        <v>279224.34</v>
      </c>
      <c r="F43" s="28">
        <v>107.8</v>
      </c>
      <c r="G43" s="29" t="s">
        <v>143</v>
      </c>
    </row>
    <row r="44" ht="21" customHeight="1" spans="1:7">
      <c r="A44" s="1">
        <v>35</v>
      </c>
      <c r="B44" s="2" t="s">
        <v>144</v>
      </c>
      <c r="C44" s="2" t="s">
        <v>145</v>
      </c>
      <c r="D44" s="27" t="s">
        <v>146</v>
      </c>
      <c r="E44" s="28">
        <v>1</v>
      </c>
      <c r="F44" s="28">
        <v>9992570.9</v>
      </c>
      <c r="G44" s="29">
        <v>9992570.9</v>
      </c>
    </row>
    <row r="45" ht="18" customHeight="1" spans="1:7">
      <c r="A45" s="30" t="s">
        <v>147</v>
      </c>
      <c r="B45" s="31"/>
      <c r="C45" s="31"/>
      <c r="D45" s="31"/>
      <c r="E45" s="31"/>
      <c r="F45" s="31"/>
      <c r="G45" s="32" t="s">
        <v>148</v>
      </c>
    </row>
    <row r="46" ht="18" customHeight="1" spans="1:7">
      <c r="A46" s="24"/>
      <c r="B46" s="2"/>
      <c r="C46" s="25" t="s">
        <v>149</v>
      </c>
      <c r="D46" s="2"/>
      <c r="E46" s="2"/>
      <c r="F46" s="2"/>
      <c r="G46" s="26"/>
    </row>
    <row r="47" ht="21" customHeight="1" spans="1:7">
      <c r="A47" s="1">
        <v>36</v>
      </c>
      <c r="B47" s="2" t="s">
        <v>150</v>
      </c>
      <c r="C47" s="2" t="s">
        <v>151</v>
      </c>
      <c r="D47" s="27" t="s">
        <v>89</v>
      </c>
      <c r="E47" s="28">
        <v>7395</v>
      </c>
      <c r="F47" s="28">
        <v>1291.67</v>
      </c>
      <c r="G47" s="29">
        <v>9551899.65</v>
      </c>
    </row>
    <row r="48" ht="21" customHeight="1" spans="1:7">
      <c r="A48" s="1">
        <v>37</v>
      </c>
      <c r="B48" s="2" t="s">
        <v>152</v>
      </c>
      <c r="C48" s="2" t="s">
        <v>91</v>
      </c>
      <c r="D48" s="27" t="s">
        <v>69</v>
      </c>
      <c r="E48" s="28">
        <v>1397.481</v>
      </c>
      <c r="F48" s="28">
        <v>5910.62</v>
      </c>
      <c r="G48" s="29">
        <v>8259979.15</v>
      </c>
    </row>
    <row r="49" ht="18" customHeight="1" spans="1:7">
      <c r="A49" s="30" t="s">
        <v>153</v>
      </c>
      <c r="B49" s="31"/>
      <c r="C49" s="31"/>
      <c r="D49" s="31"/>
      <c r="E49" s="31"/>
      <c r="F49" s="31"/>
      <c r="G49" s="32">
        <v>17811878.8</v>
      </c>
    </row>
    <row r="50" ht="18" customHeight="1" spans="1:7">
      <c r="A50" s="24"/>
      <c r="B50" s="2"/>
      <c r="C50" s="25" t="s">
        <v>154</v>
      </c>
      <c r="D50" s="2"/>
      <c r="E50" s="2"/>
      <c r="F50" s="2"/>
      <c r="G50" s="26"/>
    </row>
    <row r="51" ht="21" customHeight="1" spans="1:7">
      <c r="A51" s="1">
        <v>38</v>
      </c>
      <c r="B51" s="2" t="s">
        <v>155</v>
      </c>
      <c r="C51" s="2" t="s">
        <v>156</v>
      </c>
      <c r="D51" s="27" t="s">
        <v>57</v>
      </c>
      <c r="E51" s="28">
        <v>24096.14</v>
      </c>
      <c r="F51" s="28">
        <v>721.44</v>
      </c>
      <c r="G51" s="29" t="s">
        <v>157</v>
      </c>
    </row>
    <row r="52" ht="21" customHeight="1" spans="1:7">
      <c r="A52" s="1">
        <v>39</v>
      </c>
      <c r="B52" s="2" t="s">
        <v>158</v>
      </c>
      <c r="C52" s="2" t="s">
        <v>159</v>
      </c>
      <c r="D52" s="27" t="s">
        <v>69</v>
      </c>
      <c r="E52" s="28">
        <v>4819.53</v>
      </c>
      <c r="F52" s="28">
        <v>5502.26</v>
      </c>
      <c r="G52" s="29" t="s">
        <v>160</v>
      </c>
    </row>
    <row r="53" ht="21" customHeight="1" spans="1:7">
      <c r="A53" s="1">
        <v>40</v>
      </c>
      <c r="B53" s="2" t="s">
        <v>161</v>
      </c>
      <c r="C53" s="2" t="s">
        <v>162</v>
      </c>
      <c r="D53" s="27" t="s">
        <v>57</v>
      </c>
      <c r="E53" s="28">
        <v>198.04</v>
      </c>
      <c r="F53" s="28">
        <v>846.69</v>
      </c>
      <c r="G53" s="29">
        <v>167678.49</v>
      </c>
    </row>
    <row r="54" ht="21" customHeight="1" spans="1:7">
      <c r="A54" s="1">
        <v>41</v>
      </c>
      <c r="B54" s="2" t="s">
        <v>163</v>
      </c>
      <c r="C54" s="2" t="s">
        <v>164</v>
      </c>
      <c r="D54" s="27" t="s">
        <v>69</v>
      </c>
      <c r="E54" s="28">
        <v>54.69</v>
      </c>
      <c r="F54" s="28">
        <v>6111.71</v>
      </c>
      <c r="G54" s="29">
        <v>334249.42</v>
      </c>
    </row>
    <row r="55" ht="21" customHeight="1" spans="1:7">
      <c r="A55" s="1">
        <v>42</v>
      </c>
      <c r="B55" s="2" t="s">
        <v>165</v>
      </c>
      <c r="C55" s="2" t="s">
        <v>166</v>
      </c>
      <c r="D55" s="27" t="s">
        <v>57</v>
      </c>
      <c r="E55" s="28">
        <v>23742.66</v>
      </c>
      <c r="F55" s="28">
        <v>762.27</v>
      </c>
      <c r="G55" s="29" t="s">
        <v>167</v>
      </c>
    </row>
    <row r="56" ht="21" customHeight="1" spans="1:7">
      <c r="A56" s="1">
        <v>43</v>
      </c>
      <c r="B56" s="2" t="s">
        <v>168</v>
      </c>
      <c r="C56" s="2" t="s">
        <v>169</v>
      </c>
      <c r="D56" s="27" t="s">
        <v>69</v>
      </c>
      <c r="E56" s="28">
        <v>5935.67</v>
      </c>
      <c r="F56" s="28">
        <v>5871.53</v>
      </c>
      <c r="G56" s="29" t="s">
        <v>170</v>
      </c>
    </row>
    <row r="57" ht="21" customHeight="1" spans="1:7">
      <c r="A57" s="1">
        <v>44</v>
      </c>
      <c r="B57" s="2" t="s">
        <v>171</v>
      </c>
      <c r="C57" s="2" t="s">
        <v>172</v>
      </c>
      <c r="D57" s="27" t="s">
        <v>57</v>
      </c>
      <c r="E57" s="28">
        <v>7815.36</v>
      </c>
      <c r="F57" s="28">
        <v>1028.69</v>
      </c>
      <c r="G57" s="29">
        <v>8039582.68</v>
      </c>
    </row>
    <row r="58" ht="21" customHeight="1" spans="1:7">
      <c r="A58" s="1">
        <v>45</v>
      </c>
      <c r="B58" s="2" t="s">
        <v>173</v>
      </c>
      <c r="C58" s="2" t="s">
        <v>174</v>
      </c>
      <c r="D58" s="27" t="s">
        <v>69</v>
      </c>
      <c r="E58" s="28">
        <v>1406.765</v>
      </c>
      <c r="F58" s="28">
        <v>5212.72</v>
      </c>
      <c r="G58" s="29">
        <v>7333072.05</v>
      </c>
    </row>
    <row r="59" ht="21" customHeight="1" spans="1:7">
      <c r="A59" s="1">
        <v>46</v>
      </c>
      <c r="B59" s="2" t="s">
        <v>175</v>
      </c>
      <c r="C59" s="2" t="s">
        <v>176</v>
      </c>
      <c r="D59" s="27" t="s">
        <v>57</v>
      </c>
      <c r="E59" s="28">
        <v>15142.73</v>
      </c>
      <c r="F59" s="28">
        <v>965.77</v>
      </c>
      <c r="G59" s="29" t="s">
        <v>177</v>
      </c>
    </row>
    <row r="60" ht="21" customHeight="1" spans="1:7">
      <c r="A60" s="1">
        <v>47</v>
      </c>
      <c r="B60" s="2" t="s">
        <v>178</v>
      </c>
      <c r="C60" s="2" t="s">
        <v>179</v>
      </c>
      <c r="D60" s="27" t="s">
        <v>69</v>
      </c>
      <c r="E60" s="28">
        <v>3785.77</v>
      </c>
      <c r="F60" s="28">
        <v>5502.26</v>
      </c>
      <c r="G60" s="29" t="s">
        <v>180</v>
      </c>
    </row>
    <row r="61" ht="21" customHeight="1" spans="1:7">
      <c r="A61" s="1">
        <v>48</v>
      </c>
      <c r="B61" s="2" t="s">
        <v>181</v>
      </c>
      <c r="C61" s="2" t="s">
        <v>182</v>
      </c>
      <c r="D61" s="27" t="s">
        <v>57</v>
      </c>
      <c r="E61" s="28">
        <v>30740.99</v>
      </c>
      <c r="F61" s="28">
        <v>1114.92</v>
      </c>
      <c r="G61" s="29" t="s">
        <v>183</v>
      </c>
    </row>
    <row r="62" ht="21" customHeight="1" spans="1:7">
      <c r="A62" s="1">
        <v>49</v>
      </c>
      <c r="B62" s="2" t="s">
        <v>184</v>
      </c>
      <c r="C62" s="2" t="s">
        <v>185</v>
      </c>
      <c r="D62" s="27" t="s">
        <v>69</v>
      </c>
      <c r="E62" s="28">
        <v>7070.22</v>
      </c>
      <c r="F62" s="28">
        <v>5502.26</v>
      </c>
      <c r="G62" s="29">
        <v>38902188.7</v>
      </c>
    </row>
    <row r="63" ht="21" customHeight="1" spans="1:7">
      <c r="A63" s="1">
        <v>50</v>
      </c>
      <c r="B63" s="2" t="s">
        <v>186</v>
      </c>
      <c r="C63" s="2" t="s">
        <v>187</v>
      </c>
      <c r="D63" s="27" t="s">
        <v>57</v>
      </c>
      <c r="E63" s="28">
        <v>19.82</v>
      </c>
      <c r="F63" s="28">
        <v>2582.79</v>
      </c>
      <c r="G63" s="29">
        <v>51190.9</v>
      </c>
    </row>
    <row r="64" ht="21" customHeight="1" spans="1:7">
      <c r="A64" s="1">
        <v>51</v>
      </c>
      <c r="B64" s="2" t="s">
        <v>188</v>
      </c>
      <c r="C64" s="2" t="s">
        <v>189</v>
      </c>
      <c r="D64" s="27" t="s">
        <v>69</v>
      </c>
      <c r="E64" s="28">
        <v>2.59</v>
      </c>
      <c r="F64" s="28">
        <v>5212.72</v>
      </c>
      <c r="G64" s="29">
        <v>13500.94</v>
      </c>
    </row>
    <row r="65" ht="21" customHeight="1" spans="1:7">
      <c r="A65" s="1">
        <v>52</v>
      </c>
      <c r="B65" s="2" t="s">
        <v>190</v>
      </c>
      <c r="C65" s="2" t="s">
        <v>191</v>
      </c>
      <c r="D65" s="27" t="s">
        <v>57</v>
      </c>
      <c r="E65" s="28">
        <v>1835.5</v>
      </c>
      <c r="F65" s="28">
        <v>940.2</v>
      </c>
      <c r="G65" s="29">
        <v>1725737.1</v>
      </c>
    </row>
    <row r="66" ht="21" customHeight="1" spans="1:7">
      <c r="A66" s="1">
        <v>53</v>
      </c>
      <c r="B66" s="2" t="s">
        <v>192</v>
      </c>
      <c r="C66" s="2" t="s">
        <v>193</v>
      </c>
      <c r="D66" s="27" t="s">
        <v>69</v>
      </c>
      <c r="E66" s="28">
        <v>201.905</v>
      </c>
      <c r="F66" s="28">
        <v>5212.72</v>
      </c>
      <c r="G66" s="29">
        <v>1052474.23</v>
      </c>
    </row>
    <row r="67" ht="21" customHeight="1" spans="1:7">
      <c r="A67" s="1">
        <v>54</v>
      </c>
      <c r="B67" s="2" t="s">
        <v>194</v>
      </c>
      <c r="C67" s="2" t="s">
        <v>195</v>
      </c>
      <c r="D67" s="27" t="s">
        <v>57</v>
      </c>
      <c r="E67" s="28">
        <v>2971.86</v>
      </c>
      <c r="F67" s="28">
        <v>728.85</v>
      </c>
      <c r="G67" s="29">
        <v>2166040.16</v>
      </c>
    </row>
    <row r="68" ht="21" customHeight="1" spans="1:7">
      <c r="A68" s="1">
        <v>55</v>
      </c>
      <c r="B68" s="2" t="s">
        <v>196</v>
      </c>
      <c r="C68" s="2" t="s">
        <v>197</v>
      </c>
      <c r="D68" s="27" t="s">
        <v>69</v>
      </c>
      <c r="E68" s="28">
        <v>45</v>
      </c>
      <c r="F68" s="28">
        <v>9226.74</v>
      </c>
      <c r="G68" s="29">
        <v>415203.3</v>
      </c>
    </row>
    <row r="69" ht="25.5" customHeight="1" spans="1:7">
      <c r="A69" s="1">
        <v>56</v>
      </c>
      <c r="B69" s="2" t="s">
        <v>198</v>
      </c>
      <c r="C69" s="2" t="s">
        <v>199</v>
      </c>
      <c r="D69" s="27" t="s">
        <v>57</v>
      </c>
      <c r="E69" s="28">
        <v>757.85</v>
      </c>
      <c r="F69" s="28">
        <v>865.63</v>
      </c>
      <c r="G69" s="29">
        <v>656017.7</v>
      </c>
    </row>
    <row r="70" ht="21" customHeight="1" spans="1:7">
      <c r="A70" s="1">
        <v>57</v>
      </c>
      <c r="B70" s="2" t="s">
        <v>200</v>
      </c>
      <c r="C70" s="2" t="s">
        <v>201</v>
      </c>
      <c r="D70" s="27" t="s">
        <v>69</v>
      </c>
      <c r="E70" s="28">
        <v>121.256</v>
      </c>
      <c r="F70" s="28">
        <v>5041.16</v>
      </c>
      <c r="G70" s="29">
        <v>611270.9</v>
      </c>
    </row>
    <row r="71" ht="21" customHeight="1" spans="1:7">
      <c r="A71" s="1">
        <v>58</v>
      </c>
      <c r="B71" s="2" t="s">
        <v>202</v>
      </c>
      <c r="C71" s="2" t="s">
        <v>203</v>
      </c>
      <c r="D71" s="27" t="s">
        <v>57</v>
      </c>
      <c r="E71" s="28">
        <v>514.3</v>
      </c>
      <c r="F71" s="28">
        <v>1340.26</v>
      </c>
      <c r="G71" s="29">
        <v>689295.72</v>
      </c>
    </row>
    <row r="72" ht="21" customHeight="1" spans="1:7">
      <c r="A72" s="1">
        <v>59</v>
      </c>
      <c r="B72" s="2" t="s">
        <v>204</v>
      </c>
      <c r="C72" s="2" t="s">
        <v>205</v>
      </c>
      <c r="D72" s="27" t="s">
        <v>69</v>
      </c>
      <c r="E72" s="28">
        <v>91.422</v>
      </c>
      <c r="F72" s="28">
        <v>5041.16</v>
      </c>
      <c r="G72" s="29">
        <v>460872.93</v>
      </c>
    </row>
    <row r="73" ht="21" customHeight="1" spans="1:7">
      <c r="A73" s="1">
        <v>60</v>
      </c>
      <c r="B73" s="2" t="s">
        <v>206</v>
      </c>
      <c r="C73" s="2" t="s">
        <v>207</v>
      </c>
      <c r="D73" s="27" t="s">
        <v>57</v>
      </c>
      <c r="E73" s="28">
        <v>2793.01</v>
      </c>
      <c r="F73" s="28">
        <v>1005.02</v>
      </c>
      <c r="G73" s="29">
        <v>2807030.91</v>
      </c>
    </row>
    <row r="74" ht="21" customHeight="1" spans="1:7">
      <c r="A74" s="1">
        <v>61</v>
      </c>
      <c r="B74" s="2" t="s">
        <v>208</v>
      </c>
      <c r="C74" s="2" t="s">
        <v>209</v>
      </c>
      <c r="D74" s="27" t="s">
        <v>69</v>
      </c>
      <c r="E74" s="28">
        <v>478.802</v>
      </c>
      <c r="F74" s="28">
        <v>5041.16</v>
      </c>
      <c r="G74" s="29">
        <v>2413717.49</v>
      </c>
    </row>
    <row r="75" ht="21" customHeight="1" spans="1:7">
      <c r="A75" s="1">
        <v>62</v>
      </c>
      <c r="B75" s="2" t="s">
        <v>210</v>
      </c>
      <c r="C75" s="2" t="s">
        <v>120</v>
      </c>
      <c r="D75" s="27" t="s">
        <v>57</v>
      </c>
      <c r="E75" s="28">
        <v>3932.25</v>
      </c>
      <c r="F75" s="28">
        <v>107.8</v>
      </c>
      <c r="G75" s="29">
        <v>423896.55</v>
      </c>
    </row>
    <row r="76" ht="18" customHeight="1" spans="1:7">
      <c r="A76" s="30" t="s">
        <v>211</v>
      </c>
      <c r="B76" s="31"/>
      <c r="C76" s="31"/>
      <c r="D76" s="31"/>
      <c r="E76" s="31"/>
      <c r="F76" s="31"/>
      <c r="G76" s="32" t="s">
        <v>212</v>
      </c>
    </row>
    <row r="77" ht="18" customHeight="1" spans="1:7">
      <c r="A77" s="24"/>
      <c r="B77" s="2"/>
      <c r="C77" s="25" t="s">
        <v>213</v>
      </c>
      <c r="D77" s="2"/>
      <c r="E77" s="2"/>
      <c r="F77" s="2"/>
      <c r="G77" s="26"/>
    </row>
    <row r="78" ht="21" customHeight="1" spans="1:7">
      <c r="A78" s="1">
        <v>63</v>
      </c>
      <c r="B78" s="2" t="s">
        <v>214</v>
      </c>
      <c r="C78" s="2" t="s">
        <v>215</v>
      </c>
      <c r="D78" s="27" t="s">
        <v>216</v>
      </c>
      <c r="E78" s="28">
        <v>12173.92</v>
      </c>
      <c r="F78" s="28">
        <v>41.61</v>
      </c>
      <c r="G78" s="29">
        <v>506556.81</v>
      </c>
    </row>
    <row r="79" ht="21" customHeight="1" spans="1:7">
      <c r="A79" s="1">
        <v>64</v>
      </c>
      <c r="B79" s="2" t="s">
        <v>217</v>
      </c>
      <c r="C79" s="2" t="s">
        <v>218</v>
      </c>
      <c r="D79" s="27" t="s">
        <v>216</v>
      </c>
      <c r="E79" s="28">
        <v>27148.8</v>
      </c>
      <c r="F79" s="28">
        <v>34.27</v>
      </c>
      <c r="G79" s="29">
        <v>930389.38</v>
      </c>
    </row>
    <row r="80" ht="21" customHeight="1" spans="1:7">
      <c r="A80" s="1">
        <v>65</v>
      </c>
      <c r="B80" s="2" t="s">
        <v>219</v>
      </c>
      <c r="C80" s="2" t="s">
        <v>220</v>
      </c>
      <c r="D80" s="27" t="s">
        <v>216</v>
      </c>
      <c r="E80" s="28">
        <v>11741.38</v>
      </c>
      <c r="F80" s="28">
        <v>347.2</v>
      </c>
      <c r="G80" s="29">
        <v>4076607.14</v>
      </c>
    </row>
    <row r="81" ht="21" customHeight="1" spans="1:7">
      <c r="A81" s="1">
        <v>66</v>
      </c>
      <c r="B81" s="2" t="s">
        <v>221</v>
      </c>
      <c r="C81" s="2" t="s">
        <v>222</v>
      </c>
      <c r="D81" s="27" t="s">
        <v>89</v>
      </c>
      <c r="E81" s="28">
        <v>2670</v>
      </c>
      <c r="F81" s="28">
        <v>411.04</v>
      </c>
      <c r="G81" s="29">
        <v>1097476.8</v>
      </c>
    </row>
    <row r="82" ht="18" customHeight="1" spans="1:7">
      <c r="A82" s="30" t="s">
        <v>223</v>
      </c>
      <c r="B82" s="31"/>
      <c r="C82" s="31"/>
      <c r="D82" s="31"/>
      <c r="E82" s="31"/>
      <c r="F82" s="31"/>
      <c r="G82" s="32">
        <v>6611030.13</v>
      </c>
    </row>
    <row r="83" ht="18" customHeight="1" spans="1:7">
      <c r="A83" s="24"/>
      <c r="B83" s="2"/>
      <c r="C83" s="25" t="s">
        <v>224</v>
      </c>
      <c r="D83" s="2"/>
      <c r="E83" s="2"/>
      <c r="F83" s="2"/>
      <c r="G83" s="26"/>
    </row>
    <row r="84" ht="21" customHeight="1" spans="1:7">
      <c r="A84" s="1">
        <v>67</v>
      </c>
      <c r="B84" s="2" t="s">
        <v>225</v>
      </c>
      <c r="C84" s="2" t="s">
        <v>226</v>
      </c>
      <c r="D84" s="27" t="s">
        <v>89</v>
      </c>
      <c r="E84" s="28">
        <v>215</v>
      </c>
      <c r="F84" s="28">
        <v>44678.9</v>
      </c>
      <c r="G84" s="29">
        <v>9605963.5</v>
      </c>
    </row>
    <row r="85" ht="18" customHeight="1" spans="1:7">
      <c r="A85" s="30" t="s">
        <v>227</v>
      </c>
      <c r="B85" s="31"/>
      <c r="C85" s="31"/>
      <c r="D85" s="31"/>
      <c r="E85" s="31"/>
      <c r="F85" s="31"/>
      <c r="G85" s="32">
        <v>9605963.5</v>
      </c>
    </row>
    <row r="86" ht="18" customHeight="1" spans="1:7">
      <c r="A86" s="24"/>
      <c r="B86" s="2"/>
      <c r="C86" s="25" t="s">
        <v>228</v>
      </c>
      <c r="D86" s="2"/>
      <c r="E86" s="2"/>
      <c r="F86" s="2"/>
      <c r="G86" s="26"/>
    </row>
    <row r="87" ht="21" customHeight="1" spans="1:7">
      <c r="A87" s="1">
        <v>68</v>
      </c>
      <c r="B87" s="2" t="s">
        <v>229</v>
      </c>
      <c r="C87" s="2" t="s">
        <v>230</v>
      </c>
      <c r="D87" s="27" t="s">
        <v>231</v>
      </c>
      <c r="E87" s="28">
        <v>7</v>
      </c>
      <c r="F87" s="28">
        <v>60867.15</v>
      </c>
      <c r="G87" s="29">
        <v>426070.05</v>
      </c>
    </row>
    <row r="88" ht="21" customHeight="1" spans="1:7">
      <c r="A88" s="1">
        <v>69</v>
      </c>
      <c r="B88" s="2" t="s">
        <v>232</v>
      </c>
      <c r="C88" s="2" t="s">
        <v>233</v>
      </c>
      <c r="D88" s="27" t="s">
        <v>231</v>
      </c>
      <c r="E88" s="28">
        <v>3</v>
      </c>
      <c r="F88" s="28">
        <v>74470.65</v>
      </c>
      <c r="G88" s="29">
        <v>223411.95</v>
      </c>
    </row>
    <row r="89" ht="18" customHeight="1" spans="1:7">
      <c r="A89" s="30" t="s">
        <v>234</v>
      </c>
      <c r="B89" s="31"/>
      <c r="C89" s="31"/>
      <c r="D89" s="31"/>
      <c r="E89" s="31"/>
      <c r="F89" s="31"/>
      <c r="G89" s="32">
        <v>649482</v>
      </c>
    </row>
    <row r="90" ht="20.25" customHeight="1" spans="1:7">
      <c r="A90" s="33" t="s">
        <v>235</v>
      </c>
      <c r="B90" s="34"/>
      <c r="C90" s="34"/>
      <c r="D90" s="34"/>
      <c r="E90" s="34"/>
      <c r="F90" s="34"/>
      <c r="G90" s="35" t="s">
        <v>236</v>
      </c>
    </row>
    <row r="91" ht="20.25" customHeight="1" spans="1:7">
      <c r="A91" s="36"/>
      <c r="B91" s="36"/>
      <c r="C91" s="36"/>
      <c r="D91" s="36"/>
      <c r="E91" s="36"/>
      <c r="F91" s="36"/>
      <c r="G91" s="37"/>
    </row>
    <row r="92" ht="25.5" customHeight="1" spans="1:7">
      <c r="A92" s="13" t="s">
        <v>45</v>
      </c>
      <c r="B92" s="13"/>
      <c r="C92" s="13"/>
      <c r="D92" s="13"/>
      <c r="E92" s="13"/>
      <c r="F92" s="14"/>
      <c r="G92" s="14"/>
    </row>
    <row r="93" ht="13.75" spans="1:7">
      <c r="A93" s="15" t="s">
        <v>237</v>
      </c>
      <c r="B93" s="16"/>
      <c r="C93" s="16"/>
      <c r="D93" s="16"/>
      <c r="E93" s="16"/>
      <c r="F93" s="17"/>
      <c r="G93" s="17"/>
    </row>
    <row r="94" ht="13" spans="1:7">
      <c r="A94" s="18" t="s">
        <v>3</v>
      </c>
      <c r="B94" s="19" t="s">
        <v>47</v>
      </c>
      <c r="C94" s="19" t="s">
        <v>48</v>
      </c>
      <c r="D94" s="19" t="s">
        <v>49</v>
      </c>
      <c r="E94" s="19" t="s">
        <v>50</v>
      </c>
      <c r="F94" s="19" t="s">
        <v>51</v>
      </c>
      <c r="G94" s="20"/>
    </row>
    <row r="95" ht="13" spans="1:7">
      <c r="A95" s="21"/>
      <c r="B95" s="22"/>
      <c r="C95" s="22"/>
      <c r="D95" s="22"/>
      <c r="E95" s="22"/>
      <c r="F95" s="22" t="s">
        <v>52</v>
      </c>
      <c r="G95" s="23" t="s">
        <v>53</v>
      </c>
    </row>
    <row r="96" spans="1:7">
      <c r="A96" s="24"/>
      <c r="B96" s="2"/>
      <c r="C96" s="25" t="s">
        <v>54</v>
      </c>
      <c r="D96" s="2"/>
      <c r="E96" s="2"/>
      <c r="F96" s="2"/>
      <c r="G96" s="26"/>
    </row>
    <row r="97" spans="1:7">
      <c r="A97" s="1">
        <v>1</v>
      </c>
      <c r="B97" s="2" t="s">
        <v>238</v>
      </c>
      <c r="C97" s="2" t="s">
        <v>239</v>
      </c>
      <c r="D97" s="27" t="s">
        <v>89</v>
      </c>
      <c r="E97" s="28">
        <v>1388.8</v>
      </c>
      <c r="F97" s="28">
        <v>737.97</v>
      </c>
      <c r="G97" s="29">
        <v>1024892.74</v>
      </c>
    </row>
    <row r="98" spans="1:7">
      <c r="A98" s="1">
        <v>2</v>
      </c>
      <c r="B98" s="2" t="s">
        <v>240</v>
      </c>
      <c r="C98" s="2" t="s">
        <v>241</v>
      </c>
      <c r="D98" s="27" t="s">
        <v>89</v>
      </c>
      <c r="E98" s="28">
        <v>675</v>
      </c>
      <c r="F98" s="28">
        <v>1011.83</v>
      </c>
      <c r="G98" s="29">
        <v>682985.25</v>
      </c>
    </row>
    <row r="99" spans="1:7">
      <c r="A99" s="1">
        <v>3</v>
      </c>
      <c r="B99" s="2" t="s">
        <v>242</v>
      </c>
      <c r="C99" s="2" t="s">
        <v>91</v>
      </c>
      <c r="D99" s="27" t="s">
        <v>69</v>
      </c>
      <c r="E99" s="28">
        <v>259.21</v>
      </c>
      <c r="F99" s="28">
        <v>5910.62</v>
      </c>
      <c r="G99" s="29">
        <v>1532091.81</v>
      </c>
    </row>
    <row r="100" spans="1:7">
      <c r="A100" s="1">
        <v>4</v>
      </c>
      <c r="B100" s="2" t="s">
        <v>243</v>
      </c>
      <c r="C100" s="2" t="s">
        <v>244</v>
      </c>
      <c r="D100" s="27" t="s">
        <v>216</v>
      </c>
      <c r="E100" s="28">
        <v>733.72</v>
      </c>
      <c r="F100" s="28">
        <v>194.16</v>
      </c>
      <c r="G100" s="29">
        <v>142459.08</v>
      </c>
    </row>
    <row r="101" spans="1:7">
      <c r="A101" s="1">
        <v>5</v>
      </c>
      <c r="B101" s="2" t="s">
        <v>245</v>
      </c>
      <c r="C101" s="2" t="s">
        <v>246</v>
      </c>
      <c r="D101" s="27" t="s">
        <v>69</v>
      </c>
      <c r="E101" s="28">
        <v>2.96</v>
      </c>
      <c r="F101" s="28">
        <v>6133.75</v>
      </c>
      <c r="G101" s="29">
        <v>18155.9</v>
      </c>
    </row>
    <row r="102" spans="1:7">
      <c r="A102" s="1">
        <v>6</v>
      </c>
      <c r="B102" s="2" t="s">
        <v>247</v>
      </c>
      <c r="C102" s="2" t="s">
        <v>248</v>
      </c>
      <c r="D102" s="27" t="s">
        <v>57</v>
      </c>
      <c r="E102" s="28">
        <v>1577.6</v>
      </c>
      <c r="F102" s="28">
        <v>249.9</v>
      </c>
      <c r="G102" s="29">
        <v>394242.24</v>
      </c>
    </row>
    <row r="103" spans="1:7">
      <c r="A103" s="1">
        <v>7</v>
      </c>
      <c r="B103" s="2" t="s">
        <v>249</v>
      </c>
      <c r="C103" s="2" t="s">
        <v>82</v>
      </c>
      <c r="D103" s="27" t="s">
        <v>57</v>
      </c>
      <c r="E103" s="28">
        <v>1179.8</v>
      </c>
      <c r="F103" s="28">
        <v>318.25</v>
      </c>
      <c r="G103" s="29">
        <v>375471.35</v>
      </c>
    </row>
    <row r="104" spans="1:7">
      <c r="A104" s="1">
        <v>8</v>
      </c>
      <c r="B104" s="2" t="s">
        <v>250</v>
      </c>
      <c r="C104" s="2" t="s">
        <v>84</v>
      </c>
      <c r="D104" s="27" t="s">
        <v>69</v>
      </c>
      <c r="E104" s="28">
        <v>215.895</v>
      </c>
      <c r="F104" s="28">
        <v>2116.6</v>
      </c>
      <c r="G104" s="29">
        <v>456963.36</v>
      </c>
    </row>
    <row r="105" spans="1:7">
      <c r="A105" s="1">
        <v>9</v>
      </c>
      <c r="B105" s="2" t="s">
        <v>251</v>
      </c>
      <c r="C105" s="2" t="s">
        <v>252</v>
      </c>
      <c r="D105" s="27" t="s">
        <v>57</v>
      </c>
      <c r="E105" s="28">
        <v>176.43</v>
      </c>
      <c r="F105" s="28">
        <v>462.94</v>
      </c>
      <c r="G105" s="29">
        <v>81676.5</v>
      </c>
    </row>
    <row r="106" spans="1:7">
      <c r="A106" s="1">
        <v>10</v>
      </c>
      <c r="B106" s="2" t="s">
        <v>253</v>
      </c>
      <c r="C106" s="2" t="s">
        <v>254</v>
      </c>
      <c r="D106" s="27" t="s">
        <v>69</v>
      </c>
      <c r="E106" s="28">
        <v>93.146</v>
      </c>
      <c r="F106" s="28">
        <v>2090.29</v>
      </c>
      <c r="G106" s="29">
        <v>194702.15</v>
      </c>
    </row>
    <row r="107" ht="13" spans="1:7">
      <c r="A107" s="30" t="s">
        <v>92</v>
      </c>
      <c r="B107" s="31"/>
      <c r="C107" s="31"/>
      <c r="D107" s="31"/>
      <c r="E107" s="31"/>
      <c r="F107" s="31"/>
      <c r="G107" s="32">
        <v>4903640.38</v>
      </c>
    </row>
    <row r="108" spans="1:7">
      <c r="A108" s="24"/>
      <c r="B108" s="2"/>
      <c r="C108" s="25" t="s">
        <v>94</v>
      </c>
      <c r="D108" s="2"/>
      <c r="E108" s="2"/>
      <c r="F108" s="2"/>
      <c r="G108" s="26"/>
    </row>
    <row r="109" spans="1:7">
      <c r="A109" s="1">
        <v>11</v>
      </c>
      <c r="B109" s="2" t="s">
        <v>255</v>
      </c>
      <c r="C109" s="2" t="s">
        <v>256</v>
      </c>
      <c r="D109" s="27" t="s">
        <v>57</v>
      </c>
      <c r="E109" s="28">
        <v>3306.51</v>
      </c>
      <c r="F109" s="28">
        <v>501.33</v>
      </c>
      <c r="G109" s="29">
        <v>1657652.66</v>
      </c>
    </row>
    <row r="110" spans="1:7">
      <c r="A110" s="1">
        <v>12</v>
      </c>
      <c r="B110" s="2" t="s">
        <v>257</v>
      </c>
      <c r="C110" s="2" t="s">
        <v>258</v>
      </c>
      <c r="D110" s="27" t="s">
        <v>57</v>
      </c>
      <c r="E110" s="28">
        <v>612</v>
      </c>
      <c r="F110" s="28">
        <v>359.09</v>
      </c>
      <c r="G110" s="29">
        <v>219763.08</v>
      </c>
    </row>
    <row r="111" ht="13" spans="1:7">
      <c r="A111" s="30" t="s">
        <v>106</v>
      </c>
      <c r="B111" s="31"/>
      <c r="C111" s="31"/>
      <c r="D111" s="31"/>
      <c r="E111" s="31"/>
      <c r="F111" s="31"/>
      <c r="G111" s="32">
        <v>1877415.74</v>
      </c>
    </row>
    <row r="112" spans="1:7">
      <c r="A112" s="24"/>
      <c r="B112" s="2"/>
      <c r="C112" s="25" t="s">
        <v>108</v>
      </c>
      <c r="D112" s="2"/>
      <c r="E112" s="2"/>
      <c r="F112" s="2"/>
      <c r="G112" s="26"/>
    </row>
    <row r="113" spans="1:7">
      <c r="A113" s="1">
        <v>13</v>
      </c>
      <c r="B113" s="2" t="s">
        <v>259</v>
      </c>
      <c r="C113" s="2" t="s">
        <v>110</v>
      </c>
      <c r="D113" s="27" t="s">
        <v>57</v>
      </c>
      <c r="E113" s="28">
        <v>372.59</v>
      </c>
      <c r="F113" s="28">
        <v>642.67</v>
      </c>
      <c r="G113" s="29">
        <v>239452.42</v>
      </c>
    </row>
    <row r="114" spans="1:7">
      <c r="A114" s="1">
        <v>14</v>
      </c>
      <c r="B114" s="2" t="s">
        <v>260</v>
      </c>
      <c r="C114" s="2" t="s">
        <v>120</v>
      </c>
      <c r="D114" s="27" t="s">
        <v>57</v>
      </c>
      <c r="E114" s="28">
        <v>372.59</v>
      </c>
      <c r="F114" s="28">
        <v>107.8</v>
      </c>
      <c r="G114" s="29">
        <v>40165.2</v>
      </c>
    </row>
    <row r="115" spans="1:7">
      <c r="A115" s="1">
        <v>15</v>
      </c>
      <c r="B115" s="2" t="s">
        <v>261</v>
      </c>
      <c r="C115" s="2" t="s">
        <v>262</v>
      </c>
      <c r="D115" s="27" t="s">
        <v>69</v>
      </c>
      <c r="E115" s="28">
        <v>57.379</v>
      </c>
      <c r="F115" s="28">
        <v>5833.09</v>
      </c>
      <c r="G115" s="29">
        <v>334696.87</v>
      </c>
    </row>
    <row r="116" spans="1:7">
      <c r="A116" s="1">
        <v>16</v>
      </c>
      <c r="B116" s="2" t="s">
        <v>263</v>
      </c>
      <c r="C116" s="2" t="s">
        <v>135</v>
      </c>
      <c r="D116" s="27" t="s">
        <v>69</v>
      </c>
      <c r="E116" s="28">
        <v>796.63</v>
      </c>
      <c r="F116" s="28">
        <v>3600.99</v>
      </c>
      <c r="G116" s="29">
        <v>2868656.66</v>
      </c>
    </row>
    <row r="117" spans="1:7">
      <c r="A117" s="1">
        <v>17</v>
      </c>
      <c r="B117" s="2" t="s">
        <v>264</v>
      </c>
      <c r="C117" s="2" t="s">
        <v>265</v>
      </c>
      <c r="D117" s="27" t="s">
        <v>89</v>
      </c>
      <c r="E117" s="28">
        <v>120</v>
      </c>
      <c r="F117" s="28">
        <v>695.45</v>
      </c>
      <c r="G117" s="29">
        <v>83454</v>
      </c>
    </row>
    <row r="118" spans="1:7">
      <c r="A118" s="1">
        <v>18</v>
      </c>
      <c r="B118" s="2" t="s">
        <v>266</v>
      </c>
      <c r="C118" s="2" t="s">
        <v>91</v>
      </c>
      <c r="D118" s="27" t="s">
        <v>69</v>
      </c>
      <c r="E118" s="28">
        <v>7.842</v>
      </c>
      <c r="F118" s="28">
        <v>5910.62</v>
      </c>
      <c r="G118" s="29">
        <v>46351.08</v>
      </c>
    </row>
    <row r="119" spans="1:7">
      <c r="A119" s="1">
        <v>19</v>
      </c>
      <c r="B119" s="2" t="s">
        <v>267</v>
      </c>
      <c r="C119" s="2" t="s">
        <v>132</v>
      </c>
      <c r="D119" s="27" t="s">
        <v>69</v>
      </c>
      <c r="E119" s="28">
        <v>8.29</v>
      </c>
      <c r="F119" s="28">
        <v>6919.55</v>
      </c>
      <c r="G119" s="29">
        <v>57363.07</v>
      </c>
    </row>
    <row r="120" spans="1:7">
      <c r="A120" s="1">
        <v>20</v>
      </c>
      <c r="B120" s="2" t="s">
        <v>268</v>
      </c>
      <c r="C120" s="2" t="s">
        <v>138</v>
      </c>
      <c r="D120" s="27" t="s">
        <v>57</v>
      </c>
      <c r="E120" s="28">
        <v>12812.22</v>
      </c>
      <c r="F120" s="28">
        <v>88.18</v>
      </c>
      <c r="G120" s="29">
        <v>1129781.56</v>
      </c>
    </row>
    <row r="121" spans="1:7">
      <c r="A121" s="1">
        <v>21</v>
      </c>
      <c r="B121" s="2" t="s">
        <v>269</v>
      </c>
      <c r="C121" s="2" t="s">
        <v>141</v>
      </c>
      <c r="D121" s="27" t="s">
        <v>57</v>
      </c>
      <c r="E121" s="28">
        <v>3272.65</v>
      </c>
      <c r="F121" s="28">
        <v>28.18</v>
      </c>
      <c r="G121" s="29">
        <v>92223.28</v>
      </c>
    </row>
    <row r="122" spans="1:7">
      <c r="A122" s="1">
        <v>22</v>
      </c>
      <c r="B122" s="2" t="s">
        <v>270</v>
      </c>
      <c r="C122" s="2" t="s">
        <v>120</v>
      </c>
      <c r="D122" s="27" t="s">
        <v>57</v>
      </c>
      <c r="E122" s="28">
        <v>9539.57</v>
      </c>
      <c r="F122" s="28">
        <v>107.8</v>
      </c>
      <c r="G122" s="29">
        <v>1028365.65</v>
      </c>
    </row>
    <row r="123" spans="1:7">
      <c r="A123" s="1">
        <v>23</v>
      </c>
      <c r="B123" s="2" t="s">
        <v>271</v>
      </c>
      <c r="C123" s="2" t="s">
        <v>145</v>
      </c>
      <c r="D123" s="27" t="s">
        <v>146</v>
      </c>
      <c r="E123" s="28">
        <v>1</v>
      </c>
      <c r="F123" s="28">
        <v>1610936.14</v>
      </c>
      <c r="G123" s="29">
        <v>1610936.14</v>
      </c>
    </row>
    <row r="124" ht="13" spans="1:7">
      <c r="A124" s="30" t="s">
        <v>147</v>
      </c>
      <c r="B124" s="31"/>
      <c r="C124" s="31"/>
      <c r="D124" s="31"/>
      <c r="E124" s="31"/>
      <c r="F124" s="31"/>
      <c r="G124" s="32">
        <v>7531445.93</v>
      </c>
    </row>
    <row r="125" spans="1:7">
      <c r="A125" s="24"/>
      <c r="B125" s="2"/>
      <c r="C125" s="25" t="s">
        <v>149</v>
      </c>
      <c r="D125" s="2"/>
      <c r="E125" s="2"/>
      <c r="F125" s="2"/>
      <c r="G125" s="26"/>
    </row>
    <row r="126" spans="1:7">
      <c r="A126" s="1">
        <v>24</v>
      </c>
      <c r="B126" s="2" t="s">
        <v>272</v>
      </c>
      <c r="C126" s="2" t="s">
        <v>273</v>
      </c>
      <c r="D126" s="27" t="s">
        <v>89</v>
      </c>
      <c r="E126" s="28">
        <v>1860</v>
      </c>
      <c r="F126" s="28">
        <v>758.49</v>
      </c>
      <c r="G126" s="29">
        <v>1410791.4</v>
      </c>
    </row>
    <row r="127" spans="1:7">
      <c r="A127" s="1">
        <v>25</v>
      </c>
      <c r="B127" s="2" t="s">
        <v>274</v>
      </c>
      <c r="C127" s="2" t="s">
        <v>91</v>
      </c>
      <c r="D127" s="27" t="s">
        <v>69</v>
      </c>
      <c r="E127" s="28">
        <v>214.82</v>
      </c>
      <c r="F127" s="28">
        <v>5910.62</v>
      </c>
      <c r="G127" s="29">
        <v>1269719.39</v>
      </c>
    </row>
    <row r="128" ht="13" spans="1:7">
      <c r="A128" s="30" t="s">
        <v>153</v>
      </c>
      <c r="B128" s="31"/>
      <c r="C128" s="31"/>
      <c r="D128" s="31"/>
      <c r="E128" s="31"/>
      <c r="F128" s="31"/>
      <c r="G128" s="32">
        <v>2680510.79</v>
      </c>
    </row>
    <row r="129" spans="1:7">
      <c r="A129" s="24"/>
      <c r="B129" s="2"/>
      <c r="C129" s="25" t="s">
        <v>275</v>
      </c>
      <c r="D129" s="2"/>
      <c r="E129" s="2"/>
      <c r="F129" s="2"/>
      <c r="G129" s="26"/>
    </row>
    <row r="130" spans="1:7">
      <c r="A130" s="1">
        <v>26</v>
      </c>
      <c r="B130" s="2" t="s">
        <v>276</v>
      </c>
      <c r="C130" s="2" t="s">
        <v>156</v>
      </c>
      <c r="D130" s="27" t="s">
        <v>57</v>
      </c>
      <c r="E130" s="28">
        <v>1539.31</v>
      </c>
      <c r="F130" s="28">
        <v>813.14</v>
      </c>
      <c r="G130" s="29">
        <v>1251674.53</v>
      </c>
    </row>
    <row r="131" spans="1:7">
      <c r="A131" s="1">
        <v>27</v>
      </c>
      <c r="B131" s="2" t="s">
        <v>277</v>
      </c>
      <c r="C131" s="2" t="s">
        <v>159</v>
      </c>
      <c r="D131" s="27" t="s">
        <v>69</v>
      </c>
      <c r="E131" s="28">
        <v>307.8</v>
      </c>
      <c r="F131" s="28">
        <v>5502.26</v>
      </c>
      <c r="G131" s="29">
        <v>1693595.63</v>
      </c>
    </row>
    <row r="132" spans="1:7">
      <c r="A132" s="1">
        <v>28</v>
      </c>
      <c r="B132" s="2" t="s">
        <v>278</v>
      </c>
      <c r="C132" s="2" t="s">
        <v>166</v>
      </c>
      <c r="D132" s="27" t="s">
        <v>57</v>
      </c>
      <c r="E132" s="28">
        <v>1104.65</v>
      </c>
      <c r="F132" s="28">
        <v>895.43</v>
      </c>
      <c r="G132" s="29">
        <v>989136.75</v>
      </c>
    </row>
    <row r="133" spans="1:7">
      <c r="A133" s="1">
        <v>29</v>
      </c>
      <c r="B133" s="2" t="s">
        <v>279</v>
      </c>
      <c r="C133" s="2" t="s">
        <v>169</v>
      </c>
      <c r="D133" s="27" t="s">
        <v>69</v>
      </c>
      <c r="E133" s="28">
        <v>265.116</v>
      </c>
      <c r="F133" s="28">
        <v>5871.53</v>
      </c>
      <c r="G133" s="29">
        <v>1556636.55</v>
      </c>
    </row>
    <row r="134" spans="1:7">
      <c r="A134" s="1">
        <v>30</v>
      </c>
      <c r="B134" s="2" t="s">
        <v>280</v>
      </c>
      <c r="C134" s="2" t="s">
        <v>172</v>
      </c>
      <c r="D134" s="27" t="s">
        <v>57</v>
      </c>
      <c r="E134" s="28">
        <v>123.69</v>
      </c>
      <c r="F134" s="28">
        <v>1395.04</v>
      </c>
      <c r="G134" s="29">
        <v>172552.5</v>
      </c>
    </row>
    <row r="135" spans="1:7">
      <c r="A135" s="1">
        <v>31</v>
      </c>
      <c r="B135" s="2" t="s">
        <v>281</v>
      </c>
      <c r="C135" s="2" t="s">
        <v>174</v>
      </c>
      <c r="D135" s="27" t="s">
        <v>69</v>
      </c>
      <c r="E135" s="28">
        <v>22.264</v>
      </c>
      <c r="F135" s="28">
        <v>5212.72</v>
      </c>
      <c r="G135" s="29">
        <v>116056</v>
      </c>
    </row>
    <row r="136" spans="1:7">
      <c r="A136" s="1">
        <v>32</v>
      </c>
      <c r="B136" s="2" t="s">
        <v>282</v>
      </c>
      <c r="C136" s="2" t="s">
        <v>176</v>
      </c>
      <c r="D136" s="27" t="s">
        <v>57</v>
      </c>
      <c r="E136" s="28">
        <v>778.26</v>
      </c>
      <c r="F136" s="28">
        <v>1102.27</v>
      </c>
      <c r="G136" s="29">
        <v>857852.65</v>
      </c>
    </row>
    <row r="137" spans="1:7">
      <c r="A137" s="1">
        <v>33</v>
      </c>
      <c r="B137" s="2" t="s">
        <v>283</v>
      </c>
      <c r="C137" s="2" t="s">
        <v>179</v>
      </c>
      <c r="D137" s="27" t="s">
        <v>69</v>
      </c>
      <c r="E137" s="28">
        <v>194.565</v>
      </c>
      <c r="F137" s="28">
        <v>5502.26</v>
      </c>
      <c r="G137" s="29">
        <v>1070547.22</v>
      </c>
    </row>
    <row r="138" spans="1:7">
      <c r="A138" s="1">
        <v>34</v>
      </c>
      <c r="B138" s="2" t="s">
        <v>284</v>
      </c>
      <c r="C138" s="2" t="s">
        <v>182</v>
      </c>
      <c r="D138" s="27" t="s">
        <v>57</v>
      </c>
      <c r="E138" s="28">
        <v>31.8</v>
      </c>
      <c r="F138" s="28">
        <v>1874.99</v>
      </c>
      <c r="G138" s="29">
        <v>59624.68</v>
      </c>
    </row>
    <row r="139" spans="1:7">
      <c r="A139" s="1">
        <v>35</v>
      </c>
      <c r="B139" s="2" t="s">
        <v>285</v>
      </c>
      <c r="C139" s="2" t="s">
        <v>185</v>
      </c>
      <c r="D139" s="27" t="s">
        <v>69</v>
      </c>
      <c r="E139" s="28">
        <v>7.314</v>
      </c>
      <c r="F139" s="28">
        <v>5502.26</v>
      </c>
      <c r="G139" s="29">
        <v>40243.53</v>
      </c>
    </row>
    <row r="140" spans="1:7">
      <c r="A140" s="1">
        <v>36</v>
      </c>
      <c r="B140" s="2" t="s">
        <v>286</v>
      </c>
      <c r="C140" s="2" t="s">
        <v>191</v>
      </c>
      <c r="D140" s="27" t="s">
        <v>57</v>
      </c>
      <c r="E140" s="28">
        <v>163.2</v>
      </c>
      <c r="F140" s="28">
        <v>1300.81</v>
      </c>
      <c r="G140" s="29">
        <v>212292.19</v>
      </c>
    </row>
    <row r="141" spans="1:7">
      <c r="A141" s="1">
        <v>37</v>
      </c>
      <c r="B141" s="2" t="s">
        <v>287</v>
      </c>
      <c r="C141" s="2" t="s">
        <v>193</v>
      </c>
      <c r="D141" s="27" t="s">
        <v>69</v>
      </c>
      <c r="E141" s="28">
        <v>17.952</v>
      </c>
      <c r="F141" s="28">
        <v>5212.72</v>
      </c>
      <c r="G141" s="29">
        <v>93578.75</v>
      </c>
    </row>
    <row r="142" spans="1:7">
      <c r="A142" s="1">
        <v>38</v>
      </c>
      <c r="B142" s="2" t="s">
        <v>288</v>
      </c>
      <c r="C142" s="2" t="s">
        <v>197</v>
      </c>
      <c r="D142" s="27" t="s">
        <v>69</v>
      </c>
      <c r="E142" s="28">
        <v>8.072</v>
      </c>
      <c r="F142" s="28">
        <v>9449.18</v>
      </c>
      <c r="G142" s="29">
        <v>76273.78</v>
      </c>
    </row>
    <row r="143" spans="1:7">
      <c r="A143" s="1">
        <v>39</v>
      </c>
      <c r="B143" s="2" t="s">
        <v>289</v>
      </c>
      <c r="C143" s="2" t="s">
        <v>207</v>
      </c>
      <c r="D143" s="27" t="s">
        <v>57</v>
      </c>
      <c r="E143" s="28">
        <v>53.51</v>
      </c>
      <c r="F143" s="28">
        <v>1108.61</v>
      </c>
      <c r="G143" s="29">
        <v>59321.72</v>
      </c>
    </row>
    <row r="144" spans="1:7">
      <c r="A144" s="1">
        <v>40</v>
      </c>
      <c r="B144" s="2" t="s">
        <v>290</v>
      </c>
      <c r="C144" s="2" t="s">
        <v>209</v>
      </c>
      <c r="D144" s="27" t="s">
        <v>69</v>
      </c>
      <c r="E144" s="28">
        <v>9.632</v>
      </c>
      <c r="F144" s="28">
        <v>5041.16</v>
      </c>
      <c r="G144" s="29">
        <v>48556.45</v>
      </c>
    </row>
    <row r="145" spans="1:7">
      <c r="A145" s="1">
        <v>41</v>
      </c>
      <c r="B145" s="2" t="s">
        <v>291</v>
      </c>
      <c r="C145" s="2" t="s">
        <v>120</v>
      </c>
      <c r="D145" s="27" t="s">
        <v>57</v>
      </c>
      <c r="E145" s="28">
        <v>53.51</v>
      </c>
      <c r="F145" s="28">
        <v>107.8</v>
      </c>
      <c r="G145" s="29">
        <v>5768.38</v>
      </c>
    </row>
    <row r="146" ht="13" spans="1:7">
      <c r="A146" s="30" t="s">
        <v>292</v>
      </c>
      <c r="B146" s="31"/>
      <c r="C146" s="31"/>
      <c r="D146" s="31"/>
      <c r="E146" s="31"/>
      <c r="F146" s="31"/>
      <c r="G146" s="32">
        <v>8303711.31</v>
      </c>
    </row>
    <row r="147" spans="1:7">
      <c r="A147" s="24"/>
      <c r="B147" s="2"/>
      <c r="C147" s="25" t="s">
        <v>213</v>
      </c>
      <c r="D147" s="2"/>
      <c r="E147" s="2"/>
      <c r="F147" s="2"/>
      <c r="G147" s="26"/>
    </row>
    <row r="148" spans="1:7">
      <c r="A148" s="1">
        <v>42</v>
      </c>
      <c r="B148" s="2" t="s">
        <v>293</v>
      </c>
      <c r="C148" s="2" t="s">
        <v>215</v>
      </c>
      <c r="D148" s="27" t="s">
        <v>216</v>
      </c>
      <c r="E148" s="28">
        <v>1686.4</v>
      </c>
      <c r="F148" s="28">
        <v>41.61</v>
      </c>
      <c r="G148" s="29">
        <v>70171.1</v>
      </c>
    </row>
    <row r="149" spans="1:7">
      <c r="A149" s="1">
        <v>43</v>
      </c>
      <c r="B149" s="2" t="s">
        <v>294</v>
      </c>
      <c r="C149" s="2" t="s">
        <v>218</v>
      </c>
      <c r="D149" s="27" t="s">
        <v>216</v>
      </c>
      <c r="E149" s="28">
        <v>1305.03</v>
      </c>
      <c r="F149" s="28">
        <v>34.27</v>
      </c>
      <c r="G149" s="29">
        <v>44723.38</v>
      </c>
    </row>
    <row r="150" spans="1:7">
      <c r="A150" s="1">
        <v>44</v>
      </c>
      <c r="B150" s="2" t="s">
        <v>295</v>
      </c>
      <c r="C150" s="2" t="s">
        <v>220</v>
      </c>
      <c r="D150" s="27" t="s">
        <v>216</v>
      </c>
      <c r="E150" s="28">
        <v>1062.21</v>
      </c>
      <c r="F150" s="28">
        <v>347.2</v>
      </c>
      <c r="G150" s="29">
        <v>368799.31</v>
      </c>
    </row>
    <row r="151" spans="1:7">
      <c r="A151" s="1">
        <v>45</v>
      </c>
      <c r="B151" s="2" t="s">
        <v>296</v>
      </c>
      <c r="C151" s="2" t="s">
        <v>222</v>
      </c>
      <c r="D151" s="27" t="s">
        <v>89</v>
      </c>
      <c r="E151" s="28">
        <v>151.17</v>
      </c>
      <c r="F151" s="28">
        <v>411.04</v>
      </c>
      <c r="G151" s="29">
        <v>62136.92</v>
      </c>
    </row>
    <row r="152" ht="13" spans="1:7">
      <c r="A152" s="30" t="s">
        <v>223</v>
      </c>
      <c r="B152" s="31"/>
      <c r="C152" s="31"/>
      <c r="D152" s="31"/>
      <c r="E152" s="31"/>
      <c r="F152" s="31"/>
      <c r="G152" s="32">
        <v>545830.71</v>
      </c>
    </row>
    <row r="153" ht="12.75" spans="1:7">
      <c r="A153" s="33" t="s">
        <v>235</v>
      </c>
      <c r="B153" s="34"/>
      <c r="C153" s="34"/>
      <c r="D153" s="34"/>
      <c r="E153" s="34"/>
      <c r="F153" s="34"/>
      <c r="G153" s="35" t="s">
        <v>297</v>
      </c>
    </row>
    <row r="156" ht="27.5" spans="1:7">
      <c r="A156" s="13" t="s">
        <v>45</v>
      </c>
      <c r="B156" s="13"/>
      <c r="C156" s="13"/>
      <c r="D156" s="13"/>
      <c r="E156" s="13"/>
      <c r="F156" s="14"/>
      <c r="G156" s="14"/>
    </row>
    <row r="157" ht="13.75" spans="1:7">
      <c r="A157" s="15" t="s">
        <v>298</v>
      </c>
      <c r="B157" s="16"/>
      <c r="C157" s="16"/>
      <c r="D157" s="16"/>
      <c r="E157" s="16"/>
      <c r="F157" s="17"/>
      <c r="G157" s="17"/>
    </row>
    <row r="158" ht="13" spans="1:7">
      <c r="A158" s="18" t="s">
        <v>3</v>
      </c>
      <c r="B158" s="19" t="s">
        <v>47</v>
      </c>
      <c r="C158" s="19" t="s">
        <v>48</v>
      </c>
      <c r="D158" s="19" t="s">
        <v>49</v>
      </c>
      <c r="E158" s="19" t="s">
        <v>50</v>
      </c>
      <c r="F158" s="19" t="s">
        <v>51</v>
      </c>
      <c r="G158" s="20"/>
    </row>
    <row r="159" ht="13" spans="1:7">
      <c r="A159" s="21"/>
      <c r="B159" s="22"/>
      <c r="C159" s="22"/>
      <c r="D159" s="22"/>
      <c r="E159" s="22"/>
      <c r="F159" s="22" t="s">
        <v>52</v>
      </c>
      <c r="G159" s="23" t="s">
        <v>53</v>
      </c>
    </row>
    <row r="160" spans="1:7">
      <c r="A160" s="24"/>
      <c r="B160" s="2"/>
      <c r="C160" s="25" t="s">
        <v>54</v>
      </c>
      <c r="D160" s="2"/>
      <c r="E160" s="2"/>
      <c r="F160" s="2"/>
      <c r="G160" s="26"/>
    </row>
    <row r="161" spans="1:7">
      <c r="A161" s="1">
        <v>1</v>
      </c>
      <c r="B161" s="2" t="s">
        <v>299</v>
      </c>
      <c r="C161" s="2" t="s">
        <v>300</v>
      </c>
      <c r="D161" s="27" t="s">
        <v>57</v>
      </c>
      <c r="E161" s="28">
        <v>8655</v>
      </c>
      <c r="F161" s="28">
        <v>1886.95</v>
      </c>
      <c r="G161" s="29" t="s">
        <v>301</v>
      </c>
    </row>
    <row r="162" spans="1:7">
      <c r="A162" s="1">
        <v>2</v>
      </c>
      <c r="B162" s="2" t="s">
        <v>302</v>
      </c>
      <c r="C162" s="2" t="s">
        <v>68</v>
      </c>
      <c r="D162" s="27" t="s">
        <v>69</v>
      </c>
      <c r="E162" s="28">
        <v>1990.65</v>
      </c>
      <c r="F162" s="28">
        <v>6853.51</v>
      </c>
      <c r="G162" s="29" t="s">
        <v>303</v>
      </c>
    </row>
    <row r="163" spans="1:7">
      <c r="A163" s="1">
        <v>3</v>
      </c>
      <c r="B163" s="2" t="s">
        <v>304</v>
      </c>
      <c r="C163" s="2" t="s">
        <v>72</v>
      </c>
      <c r="D163" s="27" t="s">
        <v>57</v>
      </c>
      <c r="E163" s="28">
        <v>12760.2</v>
      </c>
      <c r="F163" s="28">
        <v>249.23</v>
      </c>
      <c r="G163" s="29">
        <v>3180224.65</v>
      </c>
    </row>
    <row r="164" spans="1:7">
      <c r="A164" s="1">
        <v>4</v>
      </c>
      <c r="B164" s="2" t="s">
        <v>305</v>
      </c>
      <c r="C164" s="2" t="s">
        <v>306</v>
      </c>
      <c r="D164" s="27" t="s">
        <v>89</v>
      </c>
      <c r="E164" s="28">
        <v>2970</v>
      </c>
      <c r="F164" s="28">
        <v>983.07</v>
      </c>
      <c r="G164" s="29">
        <v>2919717.9</v>
      </c>
    </row>
    <row r="165" spans="1:7">
      <c r="A165" s="1">
        <v>5</v>
      </c>
      <c r="B165" s="2" t="s">
        <v>307</v>
      </c>
      <c r="C165" s="2" t="s">
        <v>308</v>
      </c>
      <c r="D165" s="27" t="s">
        <v>89</v>
      </c>
      <c r="E165" s="28">
        <v>2264.4</v>
      </c>
      <c r="F165" s="28">
        <v>2363.86</v>
      </c>
      <c r="G165" s="29">
        <v>5352724.58</v>
      </c>
    </row>
    <row r="166" spans="1:7">
      <c r="A166" s="1">
        <v>6</v>
      </c>
      <c r="B166" s="2" t="s">
        <v>309</v>
      </c>
      <c r="C166" s="2" t="s">
        <v>91</v>
      </c>
      <c r="D166" s="27" t="s">
        <v>69</v>
      </c>
      <c r="E166" s="28">
        <v>945.636</v>
      </c>
      <c r="F166" s="28">
        <v>5910.62</v>
      </c>
      <c r="G166" s="29">
        <v>5589295.05</v>
      </c>
    </row>
    <row r="167" spans="1:7">
      <c r="A167" s="1">
        <v>7</v>
      </c>
      <c r="B167" s="2" t="s">
        <v>310</v>
      </c>
      <c r="C167" s="2" t="s">
        <v>248</v>
      </c>
      <c r="D167" s="27" t="s">
        <v>57</v>
      </c>
      <c r="E167" s="28">
        <v>5236.43</v>
      </c>
      <c r="F167" s="28">
        <v>249.23</v>
      </c>
      <c r="G167" s="29">
        <v>1305075.45</v>
      </c>
    </row>
    <row r="168" spans="1:7">
      <c r="A168" s="1">
        <v>8</v>
      </c>
      <c r="B168" s="2" t="s">
        <v>311</v>
      </c>
      <c r="C168" s="2" t="s">
        <v>82</v>
      </c>
      <c r="D168" s="27" t="s">
        <v>57</v>
      </c>
      <c r="E168" s="28">
        <v>4389.12</v>
      </c>
      <c r="F168" s="28">
        <v>309.11</v>
      </c>
      <c r="G168" s="29">
        <v>1356720.88</v>
      </c>
    </row>
    <row r="169" spans="1:7">
      <c r="A169" s="1">
        <v>9</v>
      </c>
      <c r="B169" s="2" t="s">
        <v>312</v>
      </c>
      <c r="C169" s="2" t="s">
        <v>84</v>
      </c>
      <c r="D169" s="27" t="s">
        <v>69</v>
      </c>
      <c r="E169" s="28">
        <v>1100.658</v>
      </c>
      <c r="F169" s="28">
        <v>2116.6</v>
      </c>
      <c r="G169" s="29">
        <v>2329652.72</v>
      </c>
    </row>
    <row r="170" spans="1:7">
      <c r="A170" s="1">
        <v>10</v>
      </c>
      <c r="B170" s="2" t="s">
        <v>313</v>
      </c>
      <c r="C170" s="2" t="s">
        <v>252</v>
      </c>
      <c r="D170" s="27" t="s">
        <v>57</v>
      </c>
      <c r="E170" s="28">
        <v>395.24</v>
      </c>
      <c r="F170" s="28">
        <v>462.94</v>
      </c>
      <c r="G170" s="29">
        <v>182972.41</v>
      </c>
    </row>
    <row r="171" spans="1:7">
      <c r="A171" s="1">
        <v>11</v>
      </c>
      <c r="B171" s="2" t="s">
        <v>314</v>
      </c>
      <c r="C171" s="2" t="s">
        <v>254</v>
      </c>
      <c r="D171" s="27" t="s">
        <v>69</v>
      </c>
      <c r="E171" s="28">
        <v>103.42</v>
      </c>
      <c r="F171" s="28">
        <v>2090.29</v>
      </c>
      <c r="G171" s="29">
        <v>216177.79</v>
      </c>
    </row>
    <row r="172" ht="13" spans="1:7">
      <c r="A172" s="30" t="s">
        <v>92</v>
      </c>
      <c r="B172" s="31"/>
      <c r="C172" s="31"/>
      <c r="D172" s="31"/>
      <c r="E172" s="31"/>
      <c r="F172" s="31"/>
      <c r="G172" s="32" t="s">
        <v>315</v>
      </c>
    </row>
    <row r="173" spans="1:7">
      <c r="A173" s="24"/>
      <c r="B173" s="2"/>
      <c r="C173" s="25" t="s">
        <v>94</v>
      </c>
      <c r="D173" s="2"/>
      <c r="E173" s="2"/>
      <c r="F173" s="2"/>
      <c r="G173" s="26"/>
    </row>
    <row r="174" spans="1:7">
      <c r="A174" s="1">
        <v>12</v>
      </c>
      <c r="B174" s="2" t="s">
        <v>316</v>
      </c>
      <c r="C174" s="2" t="s">
        <v>256</v>
      </c>
      <c r="D174" s="27" t="s">
        <v>57</v>
      </c>
      <c r="E174" s="28">
        <v>10100.32</v>
      </c>
      <c r="F174" s="28">
        <v>558.22</v>
      </c>
      <c r="G174" s="29">
        <v>5638200.63</v>
      </c>
    </row>
    <row r="175" spans="1:7">
      <c r="A175" s="1">
        <v>13</v>
      </c>
      <c r="B175" s="2" t="s">
        <v>317</v>
      </c>
      <c r="C175" s="2" t="s">
        <v>258</v>
      </c>
      <c r="D175" s="27" t="s">
        <v>57</v>
      </c>
      <c r="E175" s="28">
        <v>857.41</v>
      </c>
      <c r="F175" s="28">
        <v>371.59</v>
      </c>
      <c r="G175" s="29">
        <v>318604.98</v>
      </c>
    </row>
    <row r="176" ht="13" spans="1:7">
      <c r="A176" s="30" t="s">
        <v>106</v>
      </c>
      <c r="B176" s="31"/>
      <c r="C176" s="31"/>
      <c r="D176" s="31"/>
      <c r="E176" s="31"/>
      <c r="F176" s="31"/>
      <c r="G176" s="32">
        <v>5956805.61</v>
      </c>
    </row>
    <row r="177" spans="1:7">
      <c r="A177" s="24"/>
      <c r="B177" s="2"/>
      <c r="C177" s="25" t="s">
        <v>108</v>
      </c>
      <c r="D177" s="2"/>
      <c r="E177" s="2"/>
      <c r="F177" s="2"/>
      <c r="G177" s="26"/>
    </row>
    <row r="178" spans="1:7">
      <c r="A178" s="1">
        <v>14</v>
      </c>
      <c r="B178" s="2" t="s">
        <v>318</v>
      </c>
      <c r="C178" s="2" t="s">
        <v>110</v>
      </c>
      <c r="D178" s="27" t="s">
        <v>57</v>
      </c>
      <c r="E178" s="28">
        <v>1222.24</v>
      </c>
      <c r="F178" s="28">
        <v>642.67</v>
      </c>
      <c r="G178" s="29">
        <v>785496.98</v>
      </c>
    </row>
    <row r="179" spans="1:7">
      <c r="A179" s="1">
        <v>15</v>
      </c>
      <c r="B179" s="2" t="s">
        <v>319</v>
      </c>
      <c r="C179" s="2" t="s">
        <v>122</v>
      </c>
      <c r="D179" s="27" t="s">
        <v>69</v>
      </c>
      <c r="E179" s="28">
        <v>188.225</v>
      </c>
      <c r="F179" s="28">
        <v>5848.35</v>
      </c>
      <c r="G179" s="29">
        <v>1100805.68</v>
      </c>
    </row>
    <row r="180" spans="1:7">
      <c r="A180" s="1">
        <v>16</v>
      </c>
      <c r="B180" s="2" t="s">
        <v>320</v>
      </c>
      <c r="C180" s="2" t="s">
        <v>120</v>
      </c>
      <c r="D180" s="27" t="s">
        <v>57</v>
      </c>
      <c r="E180" s="28">
        <v>1222.24</v>
      </c>
      <c r="F180" s="28">
        <v>107.8</v>
      </c>
      <c r="G180" s="29">
        <v>131757.47</v>
      </c>
    </row>
    <row r="181" spans="1:7">
      <c r="A181" s="1">
        <v>17</v>
      </c>
      <c r="B181" s="2" t="s">
        <v>321</v>
      </c>
      <c r="C181" s="2" t="s">
        <v>135</v>
      </c>
      <c r="D181" s="27" t="s">
        <v>69</v>
      </c>
      <c r="E181" s="28">
        <v>1145.1</v>
      </c>
      <c r="F181" s="28">
        <v>4771.07</v>
      </c>
      <c r="G181" s="29">
        <v>5463352.26</v>
      </c>
    </row>
    <row r="182" spans="1:7">
      <c r="A182" s="1">
        <v>18</v>
      </c>
      <c r="B182" s="2" t="s">
        <v>322</v>
      </c>
      <c r="C182" s="2" t="s">
        <v>323</v>
      </c>
      <c r="D182" s="27" t="s">
        <v>89</v>
      </c>
      <c r="E182" s="28">
        <v>390</v>
      </c>
      <c r="F182" s="28">
        <v>694.58</v>
      </c>
      <c r="G182" s="29">
        <v>270886.2</v>
      </c>
    </row>
    <row r="183" spans="1:7">
      <c r="A183" s="1">
        <v>19</v>
      </c>
      <c r="B183" s="2" t="s">
        <v>324</v>
      </c>
      <c r="C183" s="2" t="s">
        <v>91</v>
      </c>
      <c r="D183" s="27" t="s">
        <v>69</v>
      </c>
      <c r="E183" s="28">
        <v>23.525</v>
      </c>
      <c r="F183" s="28">
        <v>5912.43</v>
      </c>
      <c r="G183" s="29">
        <v>139089.92</v>
      </c>
    </row>
    <row r="184" spans="1:7">
      <c r="A184" s="1">
        <v>20</v>
      </c>
      <c r="B184" s="2" t="s">
        <v>325</v>
      </c>
      <c r="C184" s="2" t="s">
        <v>132</v>
      </c>
      <c r="D184" s="27" t="s">
        <v>69</v>
      </c>
      <c r="E184" s="28">
        <v>44.6</v>
      </c>
      <c r="F184" s="28">
        <v>13452.53</v>
      </c>
      <c r="G184" s="29">
        <v>599982.84</v>
      </c>
    </row>
    <row r="185" spans="1:7">
      <c r="A185" s="1">
        <v>21</v>
      </c>
      <c r="B185" s="2" t="s">
        <v>326</v>
      </c>
      <c r="C185" s="2" t="s">
        <v>138</v>
      </c>
      <c r="D185" s="27" t="s">
        <v>57</v>
      </c>
      <c r="E185" s="28">
        <v>38672.28</v>
      </c>
      <c r="F185" s="28">
        <v>88.18</v>
      </c>
      <c r="G185" s="29">
        <v>3410121.65</v>
      </c>
    </row>
    <row r="186" spans="1:7">
      <c r="A186" s="1">
        <v>22</v>
      </c>
      <c r="B186" s="2" t="s">
        <v>327</v>
      </c>
      <c r="C186" s="2" t="s">
        <v>141</v>
      </c>
      <c r="D186" s="27" t="s">
        <v>57</v>
      </c>
      <c r="E186" s="28">
        <v>6355.77</v>
      </c>
      <c r="F186" s="28">
        <v>28.18</v>
      </c>
      <c r="G186" s="29">
        <v>179105.6</v>
      </c>
    </row>
    <row r="187" spans="1:7">
      <c r="A187" s="1">
        <v>23</v>
      </c>
      <c r="B187" s="2" t="s">
        <v>328</v>
      </c>
      <c r="C187" s="2" t="s">
        <v>120</v>
      </c>
      <c r="D187" s="27" t="s">
        <v>57</v>
      </c>
      <c r="E187" s="28">
        <v>32316.51</v>
      </c>
      <c r="F187" s="28">
        <v>107.8</v>
      </c>
      <c r="G187" s="29">
        <v>3483719.78</v>
      </c>
    </row>
    <row r="188" spans="1:7">
      <c r="A188" s="1">
        <v>24</v>
      </c>
      <c r="B188" s="2" t="s">
        <v>329</v>
      </c>
      <c r="C188" s="2" t="s">
        <v>145</v>
      </c>
      <c r="D188" s="27" t="s">
        <v>146</v>
      </c>
      <c r="E188" s="28">
        <v>1</v>
      </c>
      <c r="F188" s="28">
        <v>4635495.9</v>
      </c>
      <c r="G188" s="29">
        <v>4635495.9</v>
      </c>
    </row>
    <row r="189" ht="13" spans="1:7">
      <c r="A189" s="30" t="s">
        <v>147</v>
      </c>
      <c r="B189" s="31"/>
      <c r="C189" s="31"/>
      <c r="D189" s="31"/>
      <c r="E189" s="31"/>
      <c r="F189" s="31"/>
      <c r="G189" s="32" t="s">
        <v>330</v>
      </c>
    </row>
    <row r="190" spans="1:7">
      <c r="A190" s="24"/>
      <c r="B190" s="2"/>
      <c r="C190" s="25" t="s">
        <v>149</v>
      </c>
      <c r="D190" s="2"/>
      <c r="E190" s="2"/>
      <c r="F190" s="2"/>
      <c r="G190" s="26"/>
    </row>
    <row r="191" spans="1:7">
      <c r="A191" s="1">
        <v>25</v>
      </c>
      <c r="B191" s="2" t="s">
        <v>331</v>
      </c>
      <c r="C191" s="2" t="s">
        <v>332</v>
      </c>
      <c r="D191" s="27" t="s">
        <v>89</v>
      </c>
      <c r="E191" s="28">
        <v>120</v>
      </c>
      <c r="F191" s="28">
        <v>739.73</v>
      </c>
      <c r="G191" s="29">
        <v>88767.6</v>
      </c>
    </row>
    <row r="192" spans="1:7">
      <c r="A192" s="1">
        <v>26</v>
      </c>
      <c r="B192" s="2" t="s">
        <v>333</v>
      </c>
      <c r="C192" s="2" t="s">
        <v>334</v>
      </c>
      <c r="D192" s="27" t="s">
        <v>89</v>
      </c>
      <c r="E192" s="28">
        <v>770</v>
      </c>
      <c r="F192" s="28">
        <v>740.96</v>
      </c>
      <c r="G192" s="29">
        <v>570539.2</v>
      </c>
    </row>
    <row r="193" spans="1:7">
      <c r="A193" s="1">
        <v>27</v>
      </c>
      <c r="B193" s="2" t="s">
        <v>335</v>
      </c>
      <c r="C193" s="2" t="s">
        <v>336</v>
      </c>
      <c r="D193" s="27" t="s">
        <v>89</v>
      </c>
      <c r="E193" s="28">
        <v>2640</v>
      </c>
      <c r="F193" s="28">
        <v>747.9</v>
      </c>
      <c r="G193" s="29">
        <v>1974456</v>
      </c>
    </row>
    <row r="194" spans="1:7">
      <c r="A194" s="1">
        <v>28</v>
      </c>
      <c r="B194" s="2" t="s">
        <v>337</v>
      </c>
      <c r="C194" s="2" t="s">
        <v>91</v>
      </c>
      <c r="D194" s="27" t="s">
        <v>69</v>
      </c>
      <c r="E194" s="28">
        <v>408.094</v>
      </c>
      <c r="F194" s="28">
        <v>5910.62</v>
      </c>
      <c r="G194" s="29">
        <v>2412088.56</v>
      </c>
    </row>
    <row r="195" ht="13" spans="1:7">
      <c r="A195" s="30" t="s">
        <v>153</v>
      </c>
      <c r="B195" s="31"/>
      <c r="C195" s="31"/>
      <c r="D195" s="31"/>
      <c r="E195" s="31"/>
      <c r="F195" s="31"/>
      <c r="G195" s="32">
        <v>5045851.36</v>
      </c>
    </row>
    <row r="196" spans="1:7">
      <c r="A196" s="24"/>
      <c r="B196" s="2"/>
      <c r="C196" s="25" t="s">
        <v>275</v>
      </c>
      <c r="D196" s="2"/>
      <c r="E196" s="2"/>
      <c r="F196" s="2"/>
      <c r="G196" s="26"/>
    </row>
    <row r="197" spans="1:7">
      <c r="A197" s="1">
        <v>29</v>
      </c>
      <c r="B197" s="2" t="s">
        <v>338</v>
      </c>
      <c r="C197" s="2" t="s">
        <v>156</v>
      </c>
      <c r="D197" s="27" t="s">
        <v>57</v>
      </c>
      <c r="E197" s="28">
        <v>3726.98</v>
      </c>
      <c r="F197" s="28">
        <v>813.14</v>
      </c>
      <c r="G197" s="29">
        <v>3030556.52</v>
      </c>
    </row>
    <row r="198" spans="1:7">
      <c r="A198" s="1">
        <v>30</v>
      </c>
      <c r="B198" s="2" t="s">
        <v>339</v>
      </c>
      <c r="C198" s="2" t="s">
        <v>159</v>
      </c>
      <c r="D198" s="27" t="s">
        <v>69</v>
      </c>
      <c r="E198" s="28">
        <v>745.396</v>
      </c>
      <c r="F198" s="28">
        <v>5502.26</v>
      </c>
      <c r="G198" s="29">
        <v>4101362.59</v>
      </c>
    </row>
    <row r="199" spans="1:7">
      <c r="A199" s="1">
        <v>31</v>
      </c>
      <c r="B199" s="2" t="s">
        <v>340</v>
      </c>
      <c r="C199" s="2" t="s">
        <v>166</v>
      </c>
      <c r="D199" s="27" t="s">
        <v>57</v>
      </c>
      <c r="E199" s="28">
        <v>3948.63</v>
      </c>
      <c r="F199" s="28">
        <v>924.21</v>
      </c>
      <c r="G199" s="29">
        <v>3649363.33</v>
      </c>
    </row>
    <row r="200" spans="1:7">
      <c r="A200" s="1">
        <v>32</v>
      </c>
      <c r="B200" s="2" t="s">
        <v>341</v>
      </c>
      <c r="C200" s="2" t="s">
        <v>169</v>
      </c>
      <c r="D200" s="27" t="s">
        <v>69</v>
      </c>
      <c r="E200" s="28">
        <v>947.671</v>
      </c>
      <c r="F200" s="28">
        <v>5871.53</v>
      </c>
      <c r="G200" s="29">
        <v>5564278.71</v>
      </c>
    </row>
    <row r="201" spans="1:7">
      <c r="A201" s="1">
        <v>33</v>
      </c>
      <c r="B201" s="2" t="s">
        <v>342</v>
      </c>
      <c r="C201" s="2" t="s">
        <v>172</v>
      </c>
      <c r="D201" s="27" t="s">
        <v>57</v>
      </c>
      <c r="E201" s="28">
        <v>337.56</v>
      </c>
      <c r="F201" s="28">
        <v>1395.04</v>
      </c>
      <c r="G201" s="29">
        <v>470909.7</v>
      </c>
    </row>
    <row r="202" spans="1:7">
      <c r="A202" s="1">
        <v>34</v>
      </c>
      <c r="B202" s="2" t="s">
        <v>343</v>
      </c>
      <c r="C202" s="2" t="s">
        <v>174</v>
      </c>
      <c r="D202" s="27" t="s">
        <v>69</v>
      </c>
      <c r="E202" s="28">
        <v>60.761</v>
      </c>
      <c r="F202" s="28">
        <v>5212.72</v>
      </c>
      <c r="G202" s="29">
        <v>316730.08</v>
      </c>
    </row>
    <row r="203" spans="1:7">
      <c r="A203" s="1">
        <v>35</v>
      </c>
      <c r="B203" s="2" t="s">
        <v>344</v>
      </c>
      <c r="C203" s="2" t="s">
        <v>176</v>
      </c>
      <c r="D203" s="27" t="s">
        <v>57</v>
      </c>
      <c r="E203" s="28">
        <v>1890.11</v>
      </c>
      <c r="F203" s="28">
        <v>1129.22</v>
      </c>
      <c r="G203" s="29">
        <v>2134350.01</v>
      </c>
    </row>
    <row r="204" spans="1:7">
      <c r="A204" s="1">
        <v>36</v>
      </c>
      <c r="B204" s="2" t="s">
        <v>345</v>
      </c>
      <c r="C204" s="2" t="s">
        <v>179</v>
      </c>
      <c r="D204" s="27" t="s">
        <v>69</v>
      </c>
      <c r="E204" s="28">
        <v>472.528</v>
      </c>
      <c r="F204" s="28">
        <v>5502.26</v>
      </c>
      <c r="G204" s="29">
        <v>2599971.91</v>
      </c>
    </row>
    <row r="205" spans="1:7">
      <c r="A205" s="1">
        <v>37</v>
      </c>
      <c r="B205" s="2" t="s">
        <v>346</v>
      </c>
      <c r="C205" s="2" t="s">
        <v>182</v>
      </c>
      <c r="D205" s="27" t="s">
        <v>57</v>
      </c>
      <c r="E205" s="28">
        <v>1057.09</v>
      </c>
      <c r="F205" s="28">
        <v>1188.68</v>
      </c>
      <c r="G205" s="29">
        <v>1256541.74</v>
      </c>
    </row>
    <row r="206" spans="1:7">
      <c r="A206" s="1">
        <v>38</v>
      </c>
      <c r="B206" s="2" t="s">
        <v>347</v>
      </c>
      <c r="C206" s="2" t="s">
        <v>185</v>
      </c>
      <c r="D206" s="27" t="s">
        <v>69</v>
      </c>
      <c r="E206" s="28">
        <v>243.131</v>
      </c>
      <c r="F206" s="28">
        <v>5502.26</v>
      </c>
      <c r="G206" s="29">
        <v>1337769.98</v>
      </c>
    </row>
    <row r="207" spans="1:7">
      <c r="A207" s="1">
        <v>39</v>
      </c>
      <c r="B207" s="2" t="s">
        <v>348</v>
      </c>
      <c r="C207" s="2" t="s">
        <v>191</v>
      </c>
      <c r="D207" s="27" t="s">
        <v>57</v>
      </c>
      <c r="E207" s="28">
        <v>501.39</v>
      </c>
      <c r="F207" s="28">
        <v>1300.81</v>
      </c>
      <c r="G207" s="29">
        <v>652213.13</v>
      </c>
    </row>
    <row r="208" spans="1:7">
      <c r="A208" s="1">
        <v>40</v>
      </c>
      <c r="B208" s="2" t="s">
        <v>349</v>
      </c>
      <c r="C208" s="2" t="s">
        <v>193</v>
      </c>
      <c r="D208" s="27" t="s">
        <v>69</v>
      </c>
      <c r="E208" s="28">
        <v>55.153</v>
      </c>
      <c r="F208" s="28">
        <v>5212.72</v>
      </c>
      <c r="G208" s="29">
        <v>287497.15</v>
      </c>
    </row>
    <row r="209" spans="1:7">
      <c r="A209" s="1">
        <v>41</v>
      </c>
      <c r="B209" s="2" t="s">
        <v>350</v>
      </c>
      <c r="C209" s="2" t="s">
        <v>197</v>
      </c>
      <c r="D209" s="27" t="s">
        <v>69</v>
      </c>
      <c r="E209" s="28">
        <v>14.143</v>
      </c>
      <c r="F209" s="28">
        <v>9449.18</v>
      </c>
      <c r="G209" s="29">
        <v>133639.75</v>
      </c>
    </row>
    <row r="210" spans="1:7">
      <c r="A210" s="1">
        <v>42</v>
      </c>
      <c r="B210" s="2" t="s">
        <v>351</v>
      </c>
      <c r="C210" s="2" t="s">
        <v>187</v>
      </c>
      <c r="D210" s="27" t="s">
        <v>57</v>
      </c>
      <c r="E210" s="28">
        <v>8.37</v>
      </c>
      <c r="F210" s="28">
        <v>1896.1</v>
      </c>
      <c r="G210" s="29">
        <v>15870.36</v>
      </c>
    </row>
    <row r="211" spans="1:7">
      <c r="A211" s="1">
        <v>43</v>
      </c>
      <c r="B211" s="2" t="s">
        <v>352</v>
      </c>
      <c r="C211" s="2" t="s">
        <v>189</v>
      </c>
      <c r="D211" s="27" t="s">
        <v>69</v>
      </c>
      <c r="E211" s="28">
        <v>1.088</v>
      </c>
      <c r="F211" s="28">
        <v>5212.72</v>
      </c>
      <c r="G211" s="29">
        <v>5671.44</v>
      </c>
    </row>
    <row r="212" spans="1:7">
      <c r="A212" s="1">
        <v>44</v>
      </c>
      <c r="B212" s="2" t="s">
        <v>353</v>
      </c>
      <c r="C212" s="2" t="s">
        <v>207</v>
      </c>
      <c r="D212" s="27" t="s">
        <v>57</v>
      </c>
      <c r="E212" s="28">
        <v>157.73</v>
      </c>
      <c r="F212" s="28">
        <v>1108.61</v>
      </c>
      <c r="G212" s="29">
        <v>174861.06</v>
      </c>
    </row>
    <row r="213" spans="1:7">
      <c r="A213" s="1">
        <v>45</v>
      </c>
      <c r="B213" s="2" t="s">
        <v>354</v>
      </c>
      <c r="C213" s="2" t="s">
        <v>209</v>
      </c>
      <c r="D213" s="27" t="s">
        <v>69</v>
      </c>
      <c r="E213" s="28">
        <v>28.391</v>
      </c>
      <c r="F213" s="28">
        <v>5041.16</v>
      </c>
      <c r="G213" s="29">
        <v>143123.57</v>
      </c>
    </row>
    <row r="214" spans="1:7">
      <c r="A214" s="1">
        <v>46</v>
      </c>
      <c r="B214" s="2" t="s">
        <v>355</v>
      </c>
      <c r="C214" s="2" t="s">
        <v>120</v>
      </c>
      <c r="D214" s="27" t="s">
        <v>57</v>
      </c>
      <c r="E214" s="28">
        <v>157.73</v>
      </c>
      <c r="F214" s="28">
        <v>107.8</v>
      </c>
      <c r="G214" s="29">
        <v>17003.29</v>
      </c>
    </row>
    <row r="215" ht="13" spans="1:7">
      <c r="A215" s="30" t="s">
        <v>292</v>
      </c>
      <c r="B215" s="31"/>
      <c r="C215" s="31"/>
      <c r="D215" s="31"/>
      <c r="E215" s="31"/>
      <c r="F215" s="31"/>
      <c r="G215" s="32" t="s">
        <v>356</v>
      </c>
    </row>
    <row r="216" spans="1:7">
      <c r="A216" s="24"/>
      <c r="B216" s="2"/>
      <c r="C216" s="25" t="s">
        <v>213</v>
      </c>
      <c r="D216" s="2"/>
      <c r="E216" s="2"/>
      <c r="F216" s="2"/>
      <c r="G216" s="26"/>
    </row>
    <row r="217" spans="1:7">
      <c r="A217" s="1">
        <v>47</v>
      </c>
      <c r="B217" s="2" t="s">
        <v>357</v>
      </c>
      <c r="C217" s="2" t="s">
        <v>215</v>
      </c>
      <c r="D217" s="27" t="s">
        <v>216</v>
      </c>
      <c r="E217" s="28">
        <v>4068.65</v>
      </c>
      <c r="F217" s="28">
        <v>41.61</v>
      </c>
      <c r="G217" s="29">
        <v>169296.53</v>
      </c>
    </row>
    <row r="218" spans="1:7">
      <c r="A218" s="1">
        <v>48</v>
      </c>
      <c r="B218" s="2" t="s">
        <v>358</v>
      </c>
      <c r="C218" s="2" t="s">
        <v>218</v>
      </c>
      <c r="D218" s="27" t="s">
        <v>216</v>
      </c>
      <c r="E218" s="28">
        <v>5712.27</v>
      </c>
      <c r="F218" s="28">
        <v>34.27</v>
      </c>
      <c r="G218" s="29">
        <v>195759.49</v>
      </c>
    </row>
    <row r="219" spans="1:7">
      <c r="A219" s="1">
        <v>49</v>
      </c>
      <c r="B219" s="2" t="s">
        <v>359</v>
      </c>
      <c r="C219" s="2" t="s">
        <v>220</v>
      </c>
      <c r="D219" s="27" t="s">
        <v>216</v>
      </c>
      <c r="E219" s="28">
        <v>2577.67</v>
      </c>
      <c r="F219" s="28">
        <v>347.2</v>
      </c>
      <c r="G219" s="29">
        <v>894967.02</v>
      </c>
    </row>
    <row r="220" spans="1:7">
      <c r="A220" s="1">
        <v>50</v>
      </c>
      <c r="B220" s="2" t="s">
        <v>360</v>
      </c>
      <c r="C220" s="2" t="s">
        <v>222</v>
      </c>
      <c r="D220" s="27" t="s">
        <v>89</v>
      </c>
      <c r="E220" s="28">
        <v>427.3</v>
      </c>
      <c r="F220" s="28">
        <v>411.04</v>
      </c>
      <c r="G220" s="29">
        <v>175637.39</v>
      </c>
    </row>
    <row r="221" ht="13" spans="1:7">
      <c r="A221" s="30" t="s">
        <v>223</v>
      </c>
      <c r="B221" s="31"/>
      <c r="C221" s="31"/>
      <c r="D221" s="31"/>
      <c r="E221" s="31"/>
      <c r="F221" s="31"/>
      <c r="G221" s="32">
        <v>1435660.43</v>
      </c>
    </row>
    <row r="222" spans="1:7">
      <c r="A222" s="24"/>
      <c r="B222" s="2"/>
      <c r="C222" s="25" t="s">
        <v>224</v>
      </c>
      <c r="D222" s="2"/>
      <c r="E222" s="2"/>
      <c r="F222" s="2"/>
      <c r="G222" s="26"/>
    </row>
    <row r="223" spans="1:7">
      <c r="A223" s="1">
        <v>51</v>
      </c>
      <c r="B223" s="2" t="s">
        <v>361</v>
      </c>
      <c r="C223" s="2" t="s">
        <v>226</v>
      </c>
      <c r="D223" s="27" t="s">
        <v>89</v>
      </c>
      <c r="E223" s="28">
        <v>430</v>
      </c>
      <c r="F223" s="28">
        <v>44678.9</v>
      </c>
      <c r="G223" s="29">
        <v>19211927</v>
      </c>
    </row>
    <row r="224" ht="13" spans="1:7">
      <c r="A224" s="30" t="s">
        <v>227</v>
      </c>
      <c r="B224" s="31"/>
      <c r="C224" s="31"/>
      <c r="D224" s="31"/>
      <c r="E224" s="31"/>
      <c r="F224" s="31"/>
      <c r="G224" s="32">
        <v>19211927</v>
      </c>
    </row>
    <row r="225" ht="12.75" spans="1:7">
      <c r="A225" s="33" t="s">
        <v>235</v>
      </c>
      <c r="B225" s="34"/>
      <c r="C225" s="34"/>
      <c r="D225" s="34"/>
      <c r="E225" s="34"/>
      <c r="F225" s="34"/>
      <c r="G225" s="35" t="s">
        <v>362</v>
      </c>
    </row>
    <row r="226" spans="1:7">
      <c r="A226" s="38"/>
      <c r="B226" s="38"/>
      <c r="C226" s="38"/>
      <c r="D226" s="38"/>
      <c r="E226" s="38"/>
      <c r="F226" s="39"/>
      <c r="G226" s="39"/>
    </row>
    <row r="227" spans="1:7">
      <c r="A227" s="38"/>
      <c r="B227" s="38"/>
      <c r="C227" s="38"/>
      <c r="D227" s="38"/>
      <c r="E227" s="38"/>
      <c r="F227" s="39"/>
      <c r="G227" s="39"/>
    </row>
    <row r="228" ht="27.5" spans="1:7">
      <c r="A228" s="13" t="s">
        <v>45</v>
      </c>
      <c r="B228" s="13"/>
      <c r="C228" s="13"/>
      <c r="D228" s="13"/>
      <c r="E228" s="13"/>
      <c r="F228" s="14"/>
      <c r="G228" s="14"/>
    </row>
    <row r="229" ht="13.75" spans="1:7">
      <c r="A229" s="15" t="s">
        <v>363</v>
      </c>
      <c r="B229" s="16"/>
      <c r="C229" s="16"/>
      <c r="D229" s="16"/>
      <c r="E229" s="16"/>
      <c r="F229" s="17"/>
      <c r="G229" s="17"/>
    </row>
    <row r="230" ht="13" spans="1:7">
      <c r="A230" s="18" t="s">
        <v>3</v>
      </c>
      <c r="B230" s="19" t="s">
        <v>47</v>
      </c>
      <c r="C230" s="19" t="s">
        <v>48</v>
      </c>
      <c r="D230" s="19" t="s">
        <v>49</v>
      </c>
      <c r="E230" s="19" t="s">
        <v>50</v>
      </c>
      <c r="F230" s="19" t="s">
        <v>51</v>
      </c>
      <c r="G230" s="20"/>
    </row>
    <row r="231" ht="13" spans="1:7">
      <c r="A231" s="21"/>
      <c r="B231" s="22"/>
      <c r="C231" s="22"/>
      <c r="D231" s="22"/>
      <c r="E231" s="22"/>
      <c r="F231" s="22" t="s">
        <v>52</v>
      </c>
      <c r="G231" s="23" t="s">
        <v>53</v>
      </c>
    </row>
    <row r="232" spans="1:7">
      <c r="A232" s="24"/>
      <c r="B232" s="2"/>
      <c r="C232" s="25" t="s">
        <v>54</v>
      </c>
      <c r="D232" s="2"/>
      <c r="E232" s="2"/>
      <c r="F232" s="2"/>
      <c r="G232" s="26"/>
    </row>
    <row r="233" spans="1:7">
      <c r="A233" s="1">
        <v>1</v>
      </c>
      <c r="B233" s="2" t="s">
        <v>364</v>
      </c>
      <c r="C233" s="2" t="s">
        <v>60</v>
      </c>
      <c r="D233" s="27" t="s">
        <v>57</v>
      </c>
      <c r="E233" s="28">
        <v>8596.22</v>
      </c>
      <c r="F233" s="28">
        <v>3583.24</v>
      </c>
      <c r="G233" s="29" t="s">
        <v>365</v>
      </c>
    </row>
    <row r="234" spans="1:7">
      <c r="A234" s="1">
        <v>2</v>
      </c>
      <c r="B234" s="2" t="s">
        <v>366</v>
      </c>
      <c r="C234" s="2" t="s">
        <v>367</v>
      </c>
      <c r="D234" s="27" t="s">
        <v>57</v>
      </c>
      <c r="E234" s="28">
        <v>763.83</v>
      </c>
      <c r="F234" s="28">
        <v>2062.47</v>
      </c>
      <c r="G234" s="29">
        <v>1575376.46</v>
      </c>
    </row>
    <row r="235" spans="1:7">
      <c r="A235" s="1">
        <v>3</v>
      </c>
      <c r="B235" s="2" t="s">
        <v>368</v>
      </c>
      <c r="C235" s="2" t="s">
        <v>68</v>
      </c>
      <c r="D235" s="27" t="s">
        <v>69</v>
      </c>
      <c r="E235" s="28">
        <v>2208.5</v>
      </c>
      <c r="F235" s="28">
        <v>6853.51</v>
      </c>
      <c r="G235" s="29" t="s">
        <v>369</v>
      </c>
    </row>
    <row r="236" spans="1:7">
      <c r="A236" s="1">
        <v>4</v>
      </c>
      <c r="B236" s="2" t="s">
        <v>370</v>
      </c>
      <c r="C236" s="2" t="s">
        <v>72</v>
      </c>
      <c r="D236" s="27" t="s">
        <v>57</v>
      </c>
      <c r="E236" s="28">
        <v>2218.5</v>
      </c>
      <c r="F236" s="28">
        <v>249.23</v>
      </c>
      <c r="G236" s="29">
        <v>552916.76</v>
      </c>
    </row>
    <row r="237" spans="1:7">
      <c r="A237" s="1">
        <v>5</v>
      </c>
      <c r="B237" s="2" t="s">
        <v>371</v>
      </c>
      <c r="C237" s="2" t="s">
        <v>74</v>
      </c>
      <c r="D237" s="27" t="s">
        <v>57</v>
      </c>
      <c r="E237" s="28">
        <v>4489.52</v>
      </c>
      <c r="F237" s="28">
        <v>2411.21</v>
      </c>
      <c r="G237" s="29" t="s">
        <v>372</v>
      </c>
    </row>
    <row r="238" spans="1:7">
      <c r="A238" s="1">
        <v>6</v>
      </c>
      <c r="B238" s="2" t="s">
        <v>373</v>
      </c>
      <c r="C238" s="2" t="s">
        <v>86</v>
      </c>
      <c r="D238" s="27" t="s">
        <v>57</v>
      </c>
      <c r="E238" s="28">
        <v>7194.8</v>
      </c>
      <c r="F238" s="28">
        <v>1198.1</v>
      </c>
      <c r="G238" s="29">
        <v>8620089.88</v>
      </c>
    </row>
    <row r="239" ht="24" spans="1:7">
      <c r="A239" s="1">
        <v>7</v>
      </c>
      <c r="B239" s="2" t="s">
        <v>374</v>
      </c>
      <c r="C239" s="2" t="s">
        <v>375</v>
      </c>
      <c r="D239" s="27" t="s">
        <v>57</v>
      </c>
      <c r="E239" s="28">
        <v>320.32</v>
      </c>
      <c r="F239" s="28">
        <v>2038.6</v>
      </c>
      <c r="G239" s="29">
        <v>653004.35</v>
      </c>
    </row>
    <row r="240" ht="13" spans="1:7">
      <c r="A240" s="30" t="s">
        <v>92</v>
      </c>
      <c r="B240" s="31"/>
      <c r="C240" s="31"/>
      <c r="D240" s="31"/>
      <c r="E240" s="31"/>
      <c r="F240" s="31"/>
      <c r="G240" s="32" t="s">
        <v>376</v>
      </c>
    </row>
    <row r="241" spans="1:7">
      <c r="A241" s="24"/>
      <c r="B241" s="2"/>
      <c r="C241" s="25" t="s">
        <v>94</v>
      </c>
      <c r="D241" s="2"/>
      <c r="E241" s="2"/>
      <c r="F241" s="2"/>
      <c r="G241" s="26"/>
    </row>
    <row r="242" spans="1:7">
      <c r="A242" s="1">
        <v>8</v>
      </c>
      <c r="B242" s="2" t="s">
        <v>377</v>
      </c>
      <c r="C242" s="2" t="s">
        <v>96</v>
      </c>
      <c r="D242" s="27" t="s">
        <v>57</v>
      </c>
      <c r="E242" s="28">
        <v>8433.84</v>
      </c>
      <c r="F242" s="28">
        <v>613.17</v>
      </c>
      <c r="G242" s="29">
        <v>5171377.67</v>
      </c>
    </row>
    <row r="243" spans="1:7">
      <c r="A243" s="1">
        <v>9</v>
      </c>
      <c r="B243" s="2" t="s">
        <v>378</v>
      </c>
      <c r="C243" s="2" t="s">
        <v>105</v>
      </c>
      <c r="D243" s="27" t="s">
        <v>57</v>
      </c>
      <c r="E243" s="28">
        <v>901</v>
      </c>
      <c r="F243" s="28">
        <v>1955.7</v>
      </c>
      <c r="G243" s="29">
        <v>1762085.7</v>
      </c>
    </row>
    <row r="244" ht="13" spans="1:7">
      <c r="A244" s="30" t="s">
        <v>106</v>
      </c>
      <c r="B244" s="31"/>
      <c r="C244" s="31"/>
      <c r="D244" s="31"/>
      <c r="E244" s="31"/>
      <c r="F244" s="31"/>
      <c r="G244" s="32">
        <v>6933463.37</v>
      </c>
    </row>
    <row r="245" spans="1:7">
      <c r="A245" s="24"/>
      <c r="B245" s="2"/>
      <c r="C245" s="25" t="s">
        <v>108</v>
      </c>
      <c r="D245" s="2"/>
      <c r="E245" s="2"/>
      <c r="F245" s="2"/>
      <c r="G245" s="26"/>
    </row>
    <row r="246" spans="1:7">
      <c r="A246" s="1">
        <v>10</v>
      </c>
      <c r="B246" s="2" t="s">
        <v>379</v>
      </c>
      <c r="C246" s="2" t="s">
        <v>380</v>
      </c>
      <c r="D246" s="27" t="s">
        <v>57</v>
      </c>
      <c r="E246" s="28">
        <v>173.18</v>
      </c>
      <c r="F246" s="28">
        <v>664.47</v>
      </c>
      <c r="G246" s="29">
        <v>115072.91</v>
      </c>
    </row>
    <row r="247" spans="1:7">
      <c r="A247" s="1">
        <v>11</v>
      </c>
      <c r="B247" s="2" t="s">
        <v>381</v>
      </c>
      <c r="C247" s="2" t="s">
        <v>114</v>
      </c>
      <c r="D247" s="27" t="s">
        <v>57</v>
      </c>
      <c r="E247" s="28">
        <v>1981.29</v>
      </c>
      <c r="F247" s="28">
        <v>790.58</v>
      </c>
      <c r="G247" s="29">
        <v>1566368.25</v>
      </c>
    </row>
    <row r="248" spans="1:7">
      <c r="A248" s="1">
        <v>12</v>
      </c>
      <c r="B248" s="2" t="s">
        <v>382</v>
      </c>
      <c r="C248" s="2" t="s">
        <v>122</v>
      </c>
      <c r="D248" s="27" t="s">
        <v>69</v>
      </c>
      <c r="E248" s="28">
        <v>521.992</v>
      </c>
      <c r="F248" s="28">
        <v>5848.35</v>
      </c>
      <c r="G248" s="29">
        <v>3052791.91</v>
      </c>
    </row>
    <row r="249" spans="1:7">
      <c r="A249" s="1">
        <v>13</v>
      </c>
      <c r="B249" s="2" t="s">
        <v>383</v>
      </c>
      <c r="C249" s="2" t="s">
        <v>120</v>
      </c>
      <c r="D249" s="27" t="s">
        <v>57</v>
      </c>
      <c r="E249" s="28">
        <v>2154.47</v>
      </c>
      <c r="F249" s="28">
        <v>107.8</v>
      </c>
      <c r="G249" s="29">
        <v>232251.87</v>
      </c>
    </row>
    <row r="250" spans="1:7">
      <c r="A250" s="1">
        <v>14</v>
      </c>
      <c r="B250" s="2" t="s">
        <v>384</v>
      </c>
      <c r="C250" s="2" t="s">
        <v>385</v>
      </c>
      <c r="D250" s="27" t="s">
        <v>89</v>
      </c>
      <c r="E250" s="28">
        <v>120</v>
      </c>
      <c r="F250" s="28">
        <v>1198.19</v>
      </c>
      <c r="G250" s="29">
        <v>143782.8</v>
      </c>
    </row>
    <row r="251" spans="1:7">
      <c r="A251" s="1">
        <v>15</v>
      </c>
      <c r="B251" s="2" t="s">
        <v>386</v>
      </c>
      <c r="C251" s="2" t="s">
        <v>91</v>
      </c>
      <c r="D251" s="27" t="s">
        <v>69</v>
      </c>
      <c r="E251" s="28">
        <v>15.269</v>
      </c>
      <c r="F251" s="28">
        <v>5910.65</v>
      </c>
      <c r="G251" s="29">
        <v>90249.71</v>
      </c>
    </row>
    <row r="252" spans="1:7">
      <c r="A252" s="1">
        <v>16</v>
      </c>
      <c r="B252" s="2" t="s">
        <v>387</v>
      </c>
      <c r="C252" s="2" t="s">
        <v>132</v>
      </c>
      <c r="D252" s="27" t="s">
        <v>69</v>
      </c>
      <c r="E252" s="28">
        <v>39.358</v>
      </c>
      <c r="F252" s="28">
        <v>6919.55</v>
      </c>
      <c r="G252" s="29">
        <v>272339.65</v>
      </c>
    </row>
    <row r="253" spans="1:7">
      <c r="A253" s="1">
        <v>17</v>
      </c>
      <c r="B253" s="2" t="s">
        <v>388</v>
      </c>
      <c r="C253" s="2" t="s">
        <v>138</v>
      </c>
      <c r="D253" s="27" t="s">
        <v>57</v>
      </c>
      <c r="E253" s="28">
        <v>23097.2</v>
      </c>
      <c r="F253" s="28">
        <v>88.18</v>
      </c>
      <c r="G253" s="29">
        <v>2036711.1</v>
      </c>
    </row>
    <row r="254" spans="1:7">
      <c r="A254" s="1">
        <v>18</v>
      </c>
      <c r="B254" s="2" t="s">
        <v>389</v>
      </c>
      <c r="C254" s="2" t="s">
        <v>141</v>
      </c>
      <c r="D254" s="27" t="s">
        <v>57</v>
      </c>
      <c r="E254" s="28">
        <v>1942.59</v>
      </c>
      <c r="F254" s="28">
        <v>28.18</v>
      </c>
      <c r="G254" s="29">
        <v>54742.19</v>
      </c>
    </row>
    <row r="255" spans="1:7">
      <c r="A255" s="1">
        <v>19</v>
      </c>
      <c r="B255" s="2" t="s">
        <v>390</v>
      </c>
      <c r="C255" s="2" t="s">
        <v>120</v>
      </c>
      <c r="D255" s="27" t="s">
        <v>57</v>
      </c>
      <c r="E255" s="28">
        <v>21154.61</v>
      </c>
      <c r="F255" s="28">
        <v>107.8</v>
      </c>
      <c r="G255" s="29">
        <v>2280466.96</v>
      </c>
    </row>
    <row r="256" spans="1:7">
      <c r="A256" s="1">
        <v>20</v>
      </c>
      <c r="B256" s="2" t="s">
        <v>391</v>
      </c>
      <c r="C256" s="2" t="s">
        <v>145</v>
      </c>
      <c r="D256" s="27" t="s">
        <v>146</v>
      </c>
      <c r="E256" s="28">
        <v>1</v>
      </c>
      <c r="F256" s="28">
        <v>1005532.78</v>
      </c>
      <c r="G256" s="29">
        <v>1005532.78</v>
      </c>
    </row>
    <row r="257" ht="13" spans="1:7">
      <c r="A257" s="30" t="s">
        <v>147</v>
      </c>
      <c r="B257" s="31"/>
      <c r="C257" s="31"/>
      <c r="D257" s="31"/>
      <c r="E257" s="31"/>
      <c r="F257" s="31"/>
      <c r="G257" s="32" t="s">
        <v>392</v>
      </c>
    </row>
    <row r="258" spans="1:7">
      <c r="A258" s="24"/>
      <c r="B258" s="2"/>
      <c r="C258" s="25" t="s">
        <v>275</v>
      </c>
      <c r="D258" s="2"/>
      <c r="E258" s="2"/>
      <c r="F258" s="2"/>
      <c r="G258" s="26"/>
    </row>
    <row r="259" spans="1:7">
      <c r="A259" s="1">
        <v>21</v>
      </c>
      <c r="B259" s="2" t="s">
        <v>393</v>
      </c>
      <c r="C259" s="2" t="s">
        <v>156</v>
      </c>
      <c r="D259" s="27" t="s">
        <v>57</v>
      </c>
      <c r="E259" s="28">
        <v>1741.36</v>
      </c>
      <c r="F259" s="28">
        <v>741.28</v>
      </c>
      <c r="G259" s="29">
        <v>1290835.34</v>
      </c>
    </row>
    <row r="260" spans="1:7">
      <c r="A260" s="1">
        <v>22</v>
      </c>
      <c r="B260" s="2" t="s">
        <v>394</v>
      </c>
      <c r="C260" s="2" t="s">
        <v>159</v>
      </c>
      <c r="D260" s="27" t="s">
        <v>69</v>
      </c>
      <c r="E260" s="28">
        <v>365.665</v>
      </c>
      <c r="F260" s="28">
        <v>5502.26</v>
      </c>
      <c r="G260" s="29">
        <v>2011983.9</v>
      </c>
    </row>
    <row r="261" spans="1:7">
      <c r="A261" s="1">
        <v>23</v>
      </c>
      <c r="B261" s="2" t="s">
        <v>395</v>
      </c>
      <c r="C261" s="2" t="s">
        <v>162</v>
      </c>
      <c r="D261" s="27" t="s">
        <v>57</v>
      </c>
      <c r="E261" s="28">
        <v>482.79</v>
      </c>
      <c r="F261" s="28">
        <v>742.43</v>
      </c>
      <c r="G261" s="29">
        <v>358437.78</v>
      </c>
    </row>
    <row r="262" spans="1:7">
      <c r="A262" s="1">
        <v>24</v>
      </c>
      <c r="B262" s="2" t="s">
        <v>396</v>
      </c>
      <c r="C262" s="2" t="s">
        <v>164</v>
      </c>
      <c r="D262" s="27" t="s">
        <v>69</v>
      </c>
      <c r="E262" s="28">
        <v>140.02</v>
      </c>
      <c r="F262" s="28">
        <v>6103.21</v>
      </c>
      <c r="G262" s="29">
        <v>854571.46</v>
      </c>
    </row>
    <row r="263" spans="1:7">
      <c r="A263" s="1">
        <v>25</v>
      </c>
      <c r="B263" s="2" t="s">
        <v>397</v>
      </c>
      <c r="C263" s="2" t="s">
        <v>166</v>
      </c>
      <c r="D263" s="27" t="s">
        <v>57</v>
      </c>
      <c r="E263" s="28">
        <v>2685.99</v>
      </c>
      <c r="F263" s="28">
        <v>789.41</v>
      </c>
      <c r="G263" s="29">
        <v>2120347.37</v>
      </c>
    </row>
    <row r="264" spans="1:7">
      <c r="A264" s="1">
        <v>26</v>
      </c>
      <c r="B264" s="2" t="s">
        <v>398</v>
      </c>
      <c r="C264" s="2" t="s">
        <v>169</v>
      </c>
      <c r="D264" s="27" t="s">
        <v>69</v>
      </c>
      <c r="E264" s="28">
        <v>644.64</v>
      </c>
      <c r="F264" s="28">
        <v>5871.53</v>
      </c>
      <c r="G264" s="29">
        <v>3785023.1</v>
      </c>
    </row>
    <row r="265" spans="1:7">
      <c r="A265" s="1">
        <v>27</v>
      </c>
      <c r="B265" s="2" t="s">
        <v>399</v>
      </c>
      <c r="C265" s="2" t="s">
        <v>172</v>
      </c>
      <c r="D265" s="27" t="s">
        <v>57</v>
      </c>
      <c r="E265" s="28">
        <v>810.81</v>
      </c>
      <c r="F265" s="28">
        <v>1153.23</v>
      </c>
      <c r="G265" s="29">
        <v>935050.42</v>
      </c>
    </row>
    <row r="266" spans="1:7">
      <c r="A266" s="1">
        <v>28</v>
      </c>
      <c r="B266" s="2" t="s">
        <v>400</v>
      </c>
      <c r="C266" s="2" t="s">
        <v>174</v>
      </c>
      <c r="D266" s="27" t="s">
        <v>69</v>
      </c>
      <c r="E266" s="28">
        <v>145.97</v>
      </c>
      <c r="F266" s="28">
        <v>5212.72</v>
      </c>
      <c r="G266" s="29">
        <v>760900.74</v>
      </c>
    </row>
    <row r="267" spans="1:7">
      <c r="A267" s="1">
        <v>29</v>
      </c>
      <c r="B267" s="2" t="s">
        <v>401</v>
      </c>
      <c r="C267" s="2" t="s">
        <v>402</v>
      </c>
      <c r="D267" s="27" t="s">
        <v>57</v>
      </c>
      <c r="E267" s="28">
        <v>1043</v>
      </c>
      <c r="F267" s="28">
        <v>825.66</v>
      </c>
      <c r="G267" s="29">
        <v>861163.38</v>
      </c>
    </row>
    <row r="268" spans="1:7">
      <c r="A268" s="1">
        <v>30</v>
      </c>
      <c r="B268" s="2" t="s">
        <v>403</v>
      </c>
      <c r="C268" s="2" t="s">
        <v>404</v>
      </c>
      <c r="D268" s="27" t="s">
        <v>69</v>
      </c>
      <c r="E268" s="28">
        <v>256.9</v>
      </c>
      <c r="F268" s="28">
        <v>6103.21</v>
      </c>
      <c r="G268" s="29">
        <v>1567914.65</v>
      </c>
    </row>
    <row r="269" spans="1:7">
      <c r="A269" s="1">
        <v>31</v>
      </c>
      <c r="B269" s="2" t="s">
        <v>405</v>
      </c>
      <c r="C269" s="2" t="s">
        <v>406</v>
      </c>
      <c r="D269" s="27" t="s">
        <v>57</v>
      </c>
      <c r="E269" s="28">
        <v>852.92</v>
      </c>
      <c r="F269" s="28">
        <v>829.43</v>
      </c>
      <c r="G269" s="29">
        <v>707437.44</v>
      </c>
    </row>
    <row r="270" spans="1:7">
      <c r="A270" s="1">
        <v>32</v>
      </c>
      <c r="B270" s="2" t="s">
        <v>407</v>
      </c>
      <c r="C270" s="2" t="s">
        <v>179</v>
      </c>
      <c r="D270" s="27" t="s">
        <v>69</v>
      </c>
      <c r="E270" s="28">
        <v>213.23</v>
      </c>
      <c r="F270" s="28">
        <v>5502.26</v>
      </c>
      <c r="G270" s="29">
        <v>1173246.9</v>
      </c>
    </row>
    <row r="271" spans="1:7">
      <c r="A271" s="1">
        <v>33</v>
      </c>
      <c r="B271" s="2" t="s">
        <v>408</v>
      </c>
      <c r="C271" s="2" t="s">
        <v>182</v>
      </c>
      <c r="D271" s="27" t="s">
        <v>57</v>
      </c>
      <c r="E271" s="28">
        <v>1156.88</v>
      </c>
      <c r="F271" s="28">
        <v>1098.41</v>
      </c>
      <c r="G271" s="29">
        <v>1270728.56</v>
      </c>
    </row>
    <row r="272" spans="1:7">
      <c r="A272" s="1">
        <v>34</v>
      </c>
      <c r="B272" s="2" t="s">
        <v>409</v>
      </c>
      <c r="C272" s="2" t="s">
        <v>185</v>
      </c>
      <c r="D272" s="27" t="s">
        <v>69</v>
      </c>
      <c r="E272" s="28">
        <v>266.06</v>
      </c>
      <c r="F272" s="28">
        <v>5502.26</v>
      </c>
      <c r="G272" s="29">
        <v>1463931.3</v>
      </c>
    </row>
    <row r="273" spans="1:7">
      <c r="A273" s="1">
        <v>35</v>
      </c>
      <c r="B273" s="2" t="s">
        <v>410</v>
      </c>
      <c r="C273" s="2" t="s">
        <v>187</v>
      </c>
      <c r="D273" s="27" t="s">
        <v>57</v>
      </c>
      <c r="E273" s="28">
        <v>14.44</v>
      </c>
      <c r="F273" s="28">
        <v>2582.79</v>
      </c>
      <c r="G273" s="29">
        <v>37295.49</v>
      </c>
    </row>
    <row r="274" spans="1:7">
      <c r="A274" s="1">
        <v>36</v>
      </c>
      <c r="B274" s="2" t="s">
        <v>411</v>
      </c>
      <c r="C274" s="2" t="s">
        <v>189</v>
      </c>
      <c r="D274" s="27" t="s">
        <v>69</v>
      </c>
      <c r="E274" s="28">
        <v>1.94</v>
      </c>
      <c r="F274" s="28">
        <v>5212.72</v>
      </c>
      <c r="G274" s="29">
        <v>10112.68</v>
      </c>
    </row>
    <row r="275" spans="1:7">
      <c r="A275" s="1">
        <v>37</v>
      </c>
      <c r="B275" s="2" t="s">
        <v>412</v>
      </c>
      <c r="C275" s="2" t="s">
        <v>413</v>
      </c>
      <c r="D275" s="27" t="s">
        <v>57</v>
      </c>
      <c r="E275" s="28">
        <v>27.76</v>
      </c>
      <c r="F275" s="28">
        <v>3733.09</v>
      </c>
      <c r="G275" s="29">
        <v>103630.58</v>
      </c>
    </row>
    <row r="276" spans="1:7">
      <c r="A276" s="1">
        <v>38</v>
      </c>
      <c r="B276" s="2" t="s">
        <v>414</v>
      </c>
      <c r="C276" s="2" t="s">
        <v>195</v>
      </c>
      <c r="D276" s="27" t="s">
        <v>57</v>
      </c>
      <c r="E276" s="28">
        <v>2253.03</v>
      </c>
      <c r="F276" s="28">
        <v>705.96</v>
      </c>
      <c r="G276" s="29">
        <v>1590549.06</v>
      </c>
    </row>
    <row r="277" spans="1:7">
      <c r="A277" s="1">
        <v>39</v>
      </c>
      <c r="B277" s="2" t="s">
        <v>415</v>
      </c>
      <c r="C277" s="2" t="s">
        <v>416</v>
      </c>
      <c r="D277" s="27" t="s">
        <v>69</v>
      </c>
      <c r="E277" s="28">
        <v>34.36</v>
      </c>
      <c r="F277" s="28">
        <v>9171.12</v>
      </c>
      <c r="G277" s="29">
        <v>315119.68</v>
      </c>
    </row>
    <row r="278" spans="1:7">
      <c r="A278" s="1">
        <v>40</v>
      </c>
      <c r="B278" s="2" t="s">
        <v>417</v>
      </c>
      <c r="C278" s="2" t="s">
        <v>197</v>
      </c>
      <c r="D278" s="27" t="s">
        <v>69</v>
      </c>
      <c r="E278" s="28">
        <v>3.6</v>
      </c>
      <c r="F278" s="28">
        <v>9171.12</v>
      </c>
      <c r="G278" s="29">
        <v>33016.03</v>
      </c>
    </row>
    <row r="279" ht="13" spans="1:7">
      <c r="A279" s="30" t="s">
        <v>292</v>
      </c>
      <c r="B279" s="31"/>
      <c r="C279" s="31"/>
      <c r="D279" s="31"/>
      <c r="E279" s="31"/>
      <c r="F279" s="31"/>
      <c r="G279" s="32" t="s">
        <v>418</v>
      </c>
    </row>
    <row r="280" spans="1:7">
      <c r="A280" s="24"/>
      <c r="B280" s="2"/>
      <c r="C280" s="25" t="s">
        <v>213</v>
      </c>
      <c r="D280" s="2"/>
      <c r="E280" s="2"/>
      <c r="F280" s="2"/>
      <c r="G280" s="26"/>
    </row>
    <row r="281" spans="1:7">
      <c r="A281" s="1">
        <v>41</v>
      </c>
      <c r="B281" s="2" t="s">
        <v>419</v>
      </c>
      <c r="C281" s="2" t="s">
        <v>215</v>
      </c>
      <c r="D281" s="27" t="s">
        <v>216</v>
      </c>
      <c r="E281" s="28">
        <v>647.53</v>
      </c>
      <c r="F281" s="28">
        <v>41.61</v>
      </c>
      <c r="G281" s="29">
        <v>26943.72</v>
      </c>
    </row>
    <row r="282" spans="1:7">
      <c r="A282" s="1">
        <v>42</v>
      </c>
      <c r="B282" s="2" t="s">
        <v>420</v>
      </c>
      <c r="C282" s="2" t="s">
        <v>218</v>
      </c>
      <c r="D282" s="27" t="s">
        <v>216</v>
      </c>
      <c r="E282" s="28">
        <v>2580.17</v>
      </c>
      <c r="F282" s="28">
        <v>34.27</v>
      </c>
      <c r="G282" s="29">
        <v>88422.43</v>
      </c>
    </row>
    <row r="283" spans="1:7">
      <c r="A283" s="1">
        <v>43</v>
      </c>
      <c r="B283" s="2" t="s">
        <v>421</v>
      </c>
      <c r="C283" s="2" t="s">
        <v>220</v>
      </c>
      <c r="D283" s="27" t="s">
        <v>216</v>
      </c>
      <c r="E283" s="28">
        <v>647.53</v>
      </c>
      <c r="F283" s="28">
        <v>347.2</v>
      </c>
      <c r="G283" s="29">
        <v>224822.42</v>
      </c>
    </row>
    <row r="284" spans="1:7">
      <c r="A284" s="1">
        <v>44</v>
      </c>
      <c r="B284" s="2" t="s">
        <v>422</v>
      </c>
      <c r="C284" s="2" t="s">
        <v>222</v>
      </c>
      <c r="D284" s="27" t="s">
        <v>89</v>
      </c>
      <c r="E284" s="28">
        <v>95.9</v>
      </c>
      <c r="F284" s="28">
        <v>411.04</v>
      </c>
      <c r="G284" s="29">
        <v>39418.74</v>
      </c>
    </row>
    <row r="285" ht="13" spans="1:7">
      <c r="A285" s="30" t="s">
        <v>223</v>
      </c>
      <c r="B285" s="31"/>
      <c r="C285" s="31"/>
      <c r="D285" s="31"/>
      <c r="E285" s="31"/>
      <c r="F285" s="31"/>
      <c r="G285" s="32">
        <v>379607.31</v>
      </c>
    </row>
    <row r="286" ht="12.75" spans="1:7">
      <c r="A286" s="33" t="s">
        <v>235</v>
      </c>
      <c r="B286" s="34"/>
      <c r="C286" s="34"/>
      <c r="D286" s="34"/>
      <c r="E286" s="34"/>
      <c r="F286" s="34"/>
      <c r="G286" s="35" t="s">
        <v>423</v>
      </c>
    </row>
    <row r="289" ht="27.5" spans="1:7">
      <c r="A289" s="13" t="s">
        <v>45</v>
      </c>
      <c r="B289" s="13"/>
      <c r="C289" s="13"/>
      <c r="D289" s="13"/>
      <c r="E289" s="13"/>
      <c r="F289" s="14"/>
      <c r="G289" s="14"/>
    </row>
    <row r="290" ht="13.75" spans="1:7">
      <c r="A290" s="15" t="s">
        <v>424</v>
      </c>
      <c r="B290" s="16"/>
      <c r="C290" s="16"/>
      <c r="D290" s="16"/>
      <c r="E290" s="16"/>
      <c r="F290" s="17"/>
      <c r="G290" s="17"/>
    </row>
    <row r="291" ht="13" spans="1:7">
      <c r="A291" s="18" t="s">
        <v>3</v>
      </c>
      <c r="B291" s="19" t="s">
        <v>47</v>
      </c>
      <c r="C291" s="19" t="s">
        <v>48</v>
      </c>
      <c r="D291" s="19" t="s">
        <v>49</v>
      </c>
      <c r="E291" s="19" t="s">
        <v>50</v>
      </c>
      <c r="F291" s="19" t="s">
        <v>51</v>
      </c>
      <c r="G291" s="20"/>
    </row>
    <row r="292" ht="13" spans="1:7">
      <c r="A292" s="21"/>
      <c r="B292" s="22"/>
      <c r="C292" s="22"/>
      <c r="D292" s="22"/>
      <c r="E292" s="22"/>
      <c r="F292" s="22" t="s">
        <v>52</v>
      </c>
      <c r="G292" s="23" t="s">
        <v>53</v>
      </c>
    </row>
    <row r="293" spans="1:7">
      <c r="A293" s="24"/>
      <c r="B293" s="2"/>
      <c r="C293" s="25" t="s">
        <v>54</v>
      </c>
      <c r="D293" s="2"/>
      <c r="E293" s="2"/>
      <c r="F293" s="2"/>
      <c r="G293" s="26"/>
    </row>
    <row r="294" spans="1:7">
      <c r="A294" s="1">
        <v>1</v>
      </c>
      <c r="B294" s="2" t="s">
        <v>425</v>
      </c>
      <c r="C294" s="2" t="s">
        <v>60</v>
      </c>
      <c r="D294" s="27" t="s">
        <v>57</v>
      </c>
      <c r="E294" s="28">
        <v>9792</v>
      </c>
      <c r="F294" s="28">
        <v>3583.24</v>
      </c>
      <c r="G294" s="29" t="s">
        <v>426</v>
      </c>
    </row>
    <row r="295" spans="1:7">
      <c r="A295" s="1">
        <v>2</v>
      </c>
      <c r="B295" s="2" t="s">
        <v>427</v>
      </c>
      <c r="C295" s="2" t="s">
        <v>428</v>
      </c>
      <c r="D295" s="27" t="s">
        <v>57</v>
      </c>
      <c r="E295" s="28">
        <v>1113.76</v>
      </c>
      <c r="F295" s="28">
        <v>2707.13</v>
      </c>
      <c r="G295" s="29">
        <v>3015093.11</v>
      </c>
    </row>
    <row r="296" spans="1:7">
      <c r="A296" s="1">
        <v>3</v>
      </c>
      <c r="B296" s="2" t="s">
        <v>429</v>
      </c>
      <c r="C296" s="2" t="s">
        <v>68</v>
      </c>
      <c r="D296" s="27" t="s">
        <v>69</v>
      </c>
      <c r="E296" s="28">
        <v>2496.75</v>
      </c>
      <c r="F296" s="28">
        <v>6853.51</v>
      </c>
      <c r="G296" s="29" t="s">
        <v>430</v>
      </c>
    </row>
    <row r="297" spans="1:7">
      <c r="A297" s="1">
        <v>4</v>
      </c>
      <c r="B297" s="2" t="s">
        <v>431</v>
      </c>
      <c r="C297" s="2" t="s">
        <v>72</v>
      </c>
      <c r="D297" s="27" t="s">
        <v>57</v>
      </c>
      <c r="E297" s="28">
        <v>3133.1</v>
      </c>
      <c r="F297" s="28">
        <v>249.23</v>
      </c>
      <c r="G297" s="29">
        <v>780862.51</v>
      </c>
    </row>
    <row r="298" spans="1:7">
      <c r="A298" s="1">
        <v>5</v>
      </c>
      <c r="B298" s="2" t="s">
        <v>432</v>
      </c>
      <c r="C298" s="2" t="s">
        <v>74</v>
      </c>
      <c r="D298" s="27" t="s">
        <v>57</v>
      </c>
      <c r="E298" s="28">
        <v>5869.42</v>
      </c>
      <c r="F298" s="28">
        <v>2411.21</v>
      </c>
      <c r="G298" s="29">
        <v>14152404.2</v>
      </c>
    </row>
    <row r="299" spans="1:7">
      <c r="A299" s="1">
        <v>6</v>
      </c>
      <c r="B299" s="2" t="s">
        <v>433</v>
      </c>
      <c r="C299" s="2" t="s">
        <v>86</v>
      </c>
      <c r="D299" s="27" t="s">
        <v>57</v>
      </c>
      <c r="E299" s="28">
        <v>6612</v>
      </c>
      <c r="F299" s="28">
        <v>1198.1</v>
      </c>
      <c r="G299" s="29">
        <v>7921837.2</v>
      </c>
    </row>
    <row r="300" ht="13" spans="1:7">
      <c r="A300" s="30" t="s">
        <v>92</v>
      </c>
      <c r="B300" s="31"/>
      <c r="C300" s="31"/>
      <c r="D300" s="31"/>
      <c r="E300" s="31"/>
      <c r="F300" s="31"/>
      <c r="G300" s="32" t="s">
        <v>434</v>
      </c>
    </row>
    <row r="301" spans="1:7">
      <c r="A301" s="24"/>
      <c r="B301" s="2"/>
      <c r="C301" s="25" t="s">
        <v>94</v>
      </c>
      <c r="D301" s="2"/>
      <c r="E301" s="2"/>
      <c r="F301" s="2"/>
      <c r="G301" s="26"/>
    </row>
    <row r="302" spans="1:7">
      <c r="A302" s="1">
        <v>7</v>
      </c>
      <c r="B302" s="2" t="s">
        <v>435</v>
      </c>
      <c r="C302" s="2" t="s">
        <v>96</v>
      </c>
      <c r="D302" s="27" t="s">
        <v>57</v>
      </c>
      <c r="E302" s="28">
        <v>10520</v>
      </c>
      <c r="F302" s="28">
        <v>613.17</v>
      </c>
      <c r="G302" s="29">
        <v>6450548.4</v>
      </c>
    </row>
    <row r="303" spans="1:7">
      <c r="A303" s="1">
        <v>8</v>
      </c>
      <c r="B303" s="2" t="s">
        <v>436</v>
      </c>
      <c r="C303" s="2" t="s">
        <v>105</v>
      </c>
      <c r="D303" s="27" t="s">
        <v>57</v>
      </c>
      <c r="E303" s="28">
        <v>2548.8</v>
      </c>
      <c r="F303" s="28">
        <v>1955.7</v>
      </c>
      <c r="G303" s="29">
        <v>4984688.16</v>
      </c>
    </row>
    <row r="304" ht="13" spans="1:7">
      <c r="A304" s="30" t="s">
        <v>106</v>
      </c>
      <c r="B304" s="31"/>
      <c r="C304" s="31"/>
      <c r="D304" s="31"/>
      <c r="E304" s="31"/>
      <c r="F304" s="31"/>
      <c r="G304" s="32" t="s">
        <v>437</v>
      </c>
    </row>
    <row r="305" spans="1:7">
      <c r="A305" s="24"/>
      <c r="B305" s="2"/>
      <c r="C305" s="25" t="s">
        <v>108</v>
      </c>
      <c r="D305" s="2"/>
      <c r="E305" s="2"/>
      <c r="F305" s="2"/>
      <c r="G305" s="26"/>
    </row>
    <row r="306" spans="1:7">
      <c r="A306" s="1">
        <v>9</v>
      </c>
      <c r="B306" s="2" t="s">
        <v>438</v>
      </c>
      <c r="C306" s="2" t="s">
        <v>380</v>
      </c>
      <c r="D306" s="27" t="s">
        <v>57</v>
      </c>
      <c r="E306" s="28">
        <v>91.01</v>
      </c>
      <c r="F306" s="28">
        <v>1555.95</v>
      </c>
      <c r="G306" s="29">
        <v>141607.01</v>
      </c>
    </row>
    <row r="307" spans="1:7">
      <c r="A307" s="1">
        <v>10</v>
      </c>
      <c r="B307" s="2" t="s">
        <v>439</v>
      </c>
      <c r="C307" s="2" t="s">
        <v>114</v>
      </c>
      <c r="D307" s="27" t="s">
        <v>57</v>
      </c>
      <c r="E307" s="28">
        <v>1435.39</v>
      </c>
      <c r="F307" s="28">
        <v>806</v>
      </c>
      <c r="G307" s="29">
        <v>1156924.34</v>
      </c>
    </row>
    <row r="308" spans="1:7">
      <c r="A308" s="1">
        <v>11</v>
      </c>
      <c r="B308" s="2" t="s">
        <v>440</v>
      </c>
      <c r="C308" s="2" t="s">
        <v>122</v>
      </c>
      <c r="D308" s="27" t="s">
        <v>69</v>
      </c>
      <c r="E308" s="28">
        <v>372.862</v>
      </c>
      <c r="F308" s="28">
        <v>5848.35</v>
      </c>
      <c r="G308" s="29">
        <v>2180627.48</v>
      </c>
    </row>
    <row r="309" spans="1:7">
      <c r="A309" s="1">
        <v>12</v>
      </c>
      <c r="B309" s="2" t="s">
        <v>441</v>
      </c>
      <c r="C309" s="2" t="s">
        <v>120</v>
      </c>
      <c r="D309" s="27" t="s">
        <v>57</v>
      </c>
      <c r="E309" s="28">
        <v>2526.4</v>
      </c>
      <c r="F309" s="28">
        <v>107.8</v>
      </c>
      <c r="G309" s="29">
        <v>272345.92</v>
      </c>
    </row>
    <row r="310" spans="1:7">
      <c r="A310" s="1">
        <v>13</v>
      </c>
      <c r="B310" s="2" t="s">
        <v>442</v>
      </c>
      <c r="C310" s="2" t="s">
        <v>385</v>
      </c>
      <c r="D310" s="27" t="s">
        <v>89</v>
      </c>
      <c r="E310" s="28">
        <v>180</v>
      </c>
      <c r="F310" s="28">
        <v>1318.95</v>
      </c>
      <c r="G310" s="29">
        <v>237411</v>
      </c>
    </row>
    <row r="311" spans="1:7">
      <c r="A311" s="1">
        <v>14</v>
      </c>
      <c r="B311" s="2" t="s">
        <v>443</v>
      </c>
      <c r="C311" s="2" t="s">
        <v>91</v>
      </c>
      <c r="D311" s="27" t="s">
        <v>69</v>
      </c>
      <c r="E311" s="28">
        <v>21.94</v>
      </c>
      <c r="F311" s="28">
        <v>5910.62</v>
      </c>
      <c r="G311" s="29">
        <v>129679</v>
      </c>
    </row>
    <row r="312" spans="1:7">
      <c r="A312" s="1">
        <v>15</v>
      </c>
      <c r="B312" s="2" t="s">
        <v>444</v>
      </c>
      <c r="C312" s="2" t="s">
        <v>132</v>
      </c>
      <c r="D312" s="27" t="s">
        <v>69</v>
      </c>
      <c r="E312" s="28">
        <v>66.4</v>
      </c>
      <c r="F312" s="28">
        <v>6919.55</v>
      </c>
      <c r="G312" s="29">
        <v>459458.12</v>
      </c>
    </row>
    <row r="313" spans="1:7">
      <c r="A313" s="1">
        <v>16</v>
      </c>
      <c r="B313" s="2" t="s">
        <v>445</v>
      </c>
      <c r="C313" s="2" t="s">
        <v>138</v>
      </c>
      <c r="D313" s="27" t="s">
        <v>57</v>
      </c>
      <c r="E313" s="28">
        <v>26330.82</v>
      </c>
      <c r="F313" s="28">
        <v>88.18</v>
      </c>
      <c r="G313" s="29">
        <v>2321851.71</v>
      </c>
    </row>
    <row r="314" spans="1:7">
      <c r="A314" s="1">
        <v>17</v>
      </c>
      <c r="B314" s="2" t="s">
        <v>446</v>
      </c>
      <c r="C314" s="2" t="s">
        <v>141</v>
      </c>
      <c r="D314" s="27" t="s">
        <v>57</v>
      </c>
      <c r="E314" s="28">
        <v>1701.08</v>
      </c>
      <c r="F314" s="28">
        <v>28.18</v>
      </c>
      <c r="G314" s="29">
        <v>47936.43</v>
      </c>
    </row>
    <row r="315" spans="1:7">
      <c r="A315" s="1">
        <v>18</v>
      </c>
      <c r="B315" s="2" t="s">
        <v>447</v>
      </c>
      <c r="C315" s="2" t="s">
        <v>120</v>
      </c>
      <c r="D315" s="27" t="s">
        <v>57</v>
      </c>
      <c r="E315" s="28">
        <v>24629.74</v>
      </c>
      <c r="F315" s="28">
        <v>107.8</v>
      </c>
      <c r="G315" s="29">
        <v>2655085.97</v>
      </c>
    </row>
    <row r="316" spans="1:7">
      <c r="A316" s="1">
        <v>19</v>
      </c>
      <c r="B316" s="2" t="s">
        <v>448</v>
      </c>
      <c r="C316" s="2" t="s">
        <v>145</v>
      </c>
      <c r="D316" s="27" t="s">
        <v>146</v>
      </c>
      <c r="E316" s="28">
        <v>1</v>
      </c>
      <c r="F316" s="28">
        <v>1481294.6</v>
      </c>
      <c r="G316" s="29">
        <v>1481294.6</v>
      </c>
    </row>
    <row r="317" ht="13" spans="1:7">
      <c r="A317" s="30" t="s">
        <v>147</v>
      </c>
      <c r="B317" s="31"/>
      <c r="C317" s="31"/>
      <c r="D317" s="31"/>
      <c r="E317" s="31"/>
      <c r="F317" s="31"/>
      <c r="G317" s="32" t="s">
        <v>449</v>
      </c>
    </row>
    <row r="318" spans="1:7">
      <c r="A318" s="24"/>
      <c r="B318" s="2"/>
      <c r="C318" s="25" t="s">
        <v>275</v>
      </c>
      <c r="D318" s="2"/>
      <c r="E318" s="2"/>
      <c r="F318" s="2"/>
      <c r="G318" s="26"/>
    </row>
    <row r="319" spans="1:7">
      <c r="A319" s="1">
        <v>20</v>
      </c>
      <c r="B319" s="2" t="s">
        <v>450</v>
      </c>
      <c r="C319" s="2" t="s">
        <v>156</v>
      </c>
      <c r="D319" s="27" t="s">
        <v>57</v>
      </c>
      <c r="E319" s="28">
        <v>1639.24</v>
      </c>
      <c r="F319" s="28">
        <v>713.47</v>
      </c>
      <c r="G319" s="29">
        <v>1169548.56</v>
      </c>
    </row>
    <row r="320" spans="1:7">
      <c r="A320" s="1">
        <v>21</v>
      </c>
      <c r="B320" s="2" t="s">
        <v>451</v>
      </c>
      <c r="C320" s="2" t="s">
        <v>159</v>
      </c>
      <c r="D320" s="27" t="s">
        <v>69</v>
      </c>
      <c r="E320" s="28">
        <v>344.243</v>
      </c>
      <c r="F320" s="28">
        <v>5502.26</v>
      </c>
      <c r="G320" s="29">
        <v>1894114.49</v>
      </c>
    </row>
    <row r="321" spans="1:7">
      <c r="A321" s="1">
        <v>22</v>
      </c>
      <c r="B321" s="2" t="s">
        <v>452</v>
      </c>
      <c r="C321" s="2" t="s">
        <v>166</v>
      </c>
      <c r="D321" s="27" t="s">
        <v>57</v>
      </c>
      <c r="E321" s="28">
        <v>3620.28</v>
      </c>
      <c r="F321" s="28">
        <v>789.41</v>
      </c>
      <c r="G321" s="29">
        <v>2857885.23</v>
      </c>
    </row>
    <row r="322" spans="1:7">
      <c r="A322" s="1">
        <v>23</v>
      </c>
      <c r="B322" s="2" t="s">
        <v>453</v>
      </c>
      <c r="C322" s="2" t="s">
        <v>169</v>
      </c>
      <c r="D322" s="27" t="s">
        <v>69</v>
      </c>
      <c r="E322" s="28">
        <v>868.88</v>
      </c>
      <c r="F322" s="28">
        <v>5871.53</v>
      </c>
      <c r="G322" s="29">
        <v>5101654.99</v>
      </c>
    </row>
    <row r="323" spans="1:7">
      <c r="A323" s="1">
        <v>24</v>
      </c>
      <c r="B323" s="2" t="s">
        <v>454</v>
      </c>
      <c r="C323" s="2" t="s">
        <v>172</v>
      </c>
      <c r="D323" s="27" t="s">
        <v>57</v>
      </c>
      <c r="E323" s="28">
        <v>887.33</v>
      </c>
      <c r="F323" s="28">
        <v>1010.99</v>
      </c>
      <c r="G323" s="29">
        <v>897081.76</v>
      </c>
    </row>
    <row r="324" spans="1:7">
      <c r="A324" s="1">
        <v>25</v>
      </c>
      <c r="B324" s="2" t="s">
        <v>455</v>
      </c>
      <c r="C324" s="2" t="s">
        <v>174</v>
      </c>
      <c r="D324" s="27" t="s">
        <v>69</v>
      </c>
      <c r="E324" s="28">
        <v>159.85</v>
      </c>
      <c r="F324" s="28">
        <v>5212.72</v>
      </c>
      <c r="G324" s="29">
        <v>833253.29</v>
      </c>
    </row>
    <row r="325" spans="1:7">
      <c r="A325" s="1">
        <v>26</v>
      </c>
      <c r="B325" s="2" t="s">
        <v>456</v>
      </c>
      <c r="C325" s="2" t="s">
        <v>402</v>
      </c>
      <c r="D325" s="27" t="s">
        <v>57</v>
      </c>
      <c r="E325" s="28">
        <v>1033.05</v>
      </c>
      <c r="F325" s="28">
        <v>825.66</v>
      </c>
      <c r="G325" s="29">
        <v>852948.06</v>
      </c>
    </row>
    <row r="326" spans="1:7">
      <c r="A326" s="1">
        <v>27</v>
      </c>
      <c r="B326" s="2" t="s">
        <v>457</v>
      </c>
      <c r="C326" s="2" t="s">
        <v>404</v>
      </c>
      <c r="D326" s="27" t="s">
        <v>69</v>
      </c>
      <c r="E326" s="28">
        <v>273.61</v>
      </c>
      <c r="F326" s="28">
        <v>6103.21</v>
      </c>
      <c r="G326" s="29">
        <v>1669899.29</v>
      </c>
    </row>
    <row r="327" spans="1:7">
      <c r="A327" s="1">
        <v>28</v>
      </c>
      <c r="B327" s="2" t="s">
        <v>458</v>
      </c>
      <c r="C327" s="2" t="s">
        <v>176</v>
      </c>
      <c r="D327" s="27" t="s">
        <v>57</v>
      </c>
      <c r="E327" s="28">
        <v>797.17</v>
      </c>
      <c r="F327" s="28">
        <v>864.51</v>
      </c>
      <c r="G327" s="29">
        <v>689161.44</v>
      </c>
    </row>
    <row r="328" spans="1:7">
      <c r="A328" s="1">
        <v>29</v>
      </c>
      <c r="B328" s="2" t="s">
        <v>459</v>
      </c>
      <c r="C328" s="2" t="s">
        <v>179</v>
      </c>
      <c r="D328" s="27" t="s">
        <v>69</v>
      </c>
      <c r="E328" s="28">
        <v>170.13</v>
      </c>
      <c r="F328" s="28">
        <v>5502.26</v>
      </c>
      <c r="G328" s="29">
        <v>936099.49</v>
      </c>
    </row>
    <row r="329" spans="1:7">
      <c r="A329" s="1">
        <v>30</v>
      </c>
      <c r="B329" s="2" t="s">
        <v>460</v>
      </c>
      <c r="C329" s="2" t="s">
        <v>182</v>
      </c>
      <c r="D329" s="27" t="s">
        <v>57</v>
      </c>
      <c r="E329" s="28">
        <v>1495.52</v>
      </c>
      <c r="F329" s="28">
        <v>1098.41</v>
      </c>
      <c r="G329" s="29">
        <v>1642694.12</v>
      </c>
    </row>
    <row r="330" spans="1:7">
      <c r="A330" s="1">
        <v>31</v>
      </c>
      <c r="B330" s="2" t="s">
        <v>461</v>
      </c>
      <c r="C330" s="2" t="s">
        <v>185</v>
      </c>
      <c r="D330" s="27" t="s">
        <v>69</v>
      </c>
      <c r="E330" s="28">
        <v>327.6</v>
      </c>
      <c r="F330" s="28">
        <v>5502.26</v>
      </c>
      <c r="G330" s="29">
        <v>1802540.38</v>
      </c>
    </row>
    <row r="331" spans="1:7">
      <c r="A331" s="1">
        <v>32</v>
      </c>
      <c r="B331" s="2" t="s">
        <v>462</v>
      </c>
      <c r="C331" s="2" t="s">
        <v>187</v>
      </c>
      <c r="D331" s="27" t="s">
        <v>57</v>
      </c>
      <c r="E331" s="28">
        <v>47.81</v>
      </c>
      <c r="F331" s="28">
        <v>2582.79</v>
      </c>
      <c r="G331" s="29">
        <v>123483.19</v>
      </c>
    </row>
    <row r="332" spans="1:7">
      <c r="A332" s="1">
        <v>33</v>
      </c>
      <c r="B332" s="2" t="s">
        <v>463</v>
      </c>
      <c r="C332" s="2" t="s">
        <v>189</v>
      </c>
      <c r="D332" s="27" t="s">
        <v>69</v>
      </c>
      <c r="E332" s="28">
        <v>6.22</v>
      </c>
      <c r="F332" s="28">
        <v>5212.72</v>
      </c>
      <c r="G332" s="29">
        <v>32423.12</v>
      </c>
    </row>
    <row r="333" spans="1:7">
      <c r="A333" s="1">
        <v>34</v>
      </c>
      <c r="B333" s="2" t="s">
        <v>464</v>
      </c>
      <c r="C333" s="2" t="s">
        <v>413</v>
      </c>
      <c r="D333" s="27" t="s">
        <v>57</v>
      </c>
      <c r="E333" s="28">
        <v>27.81</v>
      </c>
      <c r="F333" s="28">
        <v>3733.09</v>
      </c>
      <c r="G333" s="29">
        <v>103817.23</v>
      </c>
    </row>
    <row r="334" spans="1:7">
      <c r="A334" s="1">
        <v>35</v>
      </c>
      <c r="B334" s="2" t="s">
        <v>465</v>
      </c>
      <c r="C334" s="2" t="s">
        <v>195</v>
      </c>
      <c r="D334" s="27" t="s">
        <v>57</v>
      </c>
      <c r="E334" s="28">
        <v>1971.01</v>
      </c>
      <c r="F334" s="28">
        <v>705.96</v>
      </c>
      <c r="G334" s="29">
        <v>1391454.22</v>
      </c>
    </row>
    <row r="335" spans="1:7">
      <c r="A335" s="1">
        <v>36</v>
      </c>
      <c r="B335" s="2" t="s">
        <v>466</v>
      </c>
      <c r="C335" s="2" t="s">
        <v>416</v>
      </c>
      <c r="D335" s="27" t="s">
        <v>69</v>
      </c>
      <c r="E335" s="28">
        <v>21.01</v>
      </c>
      <c r="F335" s="28">
        <v>9171.12</v>
      </c>
      <c r="G335" s="29">
        <v>192685.23</v>
      </c>
    </row>
    <row r="336" spans="1:7">
      <c r="A336" s="1">
        <v>37</v>
      </c>
      <c r="B336" s="2" t="s">
        <v>467</v>
      </c>
      <c r="C336" s="2" t="s">
        <v>197</v>
      </c>
      <c r="D336" s="27" t="s">
        <v>69</v>
      </c>
      <c r="E336" s="28">
        <v>3.79</v>
      </c>
      <c r="F336" s="28">
        <v>9171.12</v>
      </c>
      <c r="G336" s="29">
        <v>34758.54</v>
      </c>
    </row>
    <row r="337" spans="1:7">
      <c r="A337" s="1">
        <v>38</v>
      </c>
      <c r="B337" s="2" t="s">
        <v>468</v>
      </c>
      <c r="C337" s="2" t="s">
        <v>469</v>
      </c>
      <c r="D337" s="27" t="s">
        <v>57</v>
      </c>
      <c r="E337" s="28">
        <v>50.38</v>
      </c>
      <c r="F337" s="28">
        <v>758.57</v>
      </c>
      <c r="G337" s="29">
        <v>38216.76</v>
      </c>
    </row>
    <row r="338" spans="1:7">
      <c r="A338" s="1">
        <v>39</v>
      </c>
      <c r="B338" s="2" t="s">
        <v>470</v>
      </c>
      <c r="C338" s="2" t="s">
        <v>471</v>
      </c>
      <c r="D338" s="27" t="s">
        <v>69</v>
      </c>
      <c r="E338" s="28">
        <v>8.061</v>
      </c>
      <c r="F338" s="28">
        <v>5081.91</v>
      </c>
      <c r="G338" s="29">
        <v>40965.28</v>
      </c>
    </row>
    <row r="339" spans="1:7">
      <c r="A339" s="1">
        <v>40</v>
      </c>
      <c r="B339" s="2" t="s">
        <v>472</v>
      </c>
      <c r="C339" s="2" t="s">
        <v>120</v>
      </c>
      <c r="D339" s="27" t="s">
        <v>57</v>
      </c>
      <c r="E339" s="28">
        <v>50.38</v>
      </c>
      <c r="F339" s="28">
        <v>107.8</v>
      </c>
      <c r="G339" s="29">
        <v>5430.96</v>
      </c>
    </row>
    <row r="340" ht="13" spans="1:7">
      <c r="A340" s="30" t="s">
        <v>292</v>
      </c>
      <c r="B340" s="31"/>
      <c r="C340" s="31"/>
      <c r="D340" s="31"/>
      <c r="E340" s="31"/>
      <c r="F340" s="31"/>
      <c r="G340" s="32" t="s">
        <v>473</v>
      </c>
    </row>
    <row r="341" spans="1:7">
      <c r="A341" s="24"/>
      <c r="B341" s="2"/>
      <c r="C341" s="25" t="s">
        <v>213</v>
      </c>
      <c r="D341" s="2"/>
      <c r="E341" s="2"/>
      <c r="F341" s="2"/>
      <c r="G341" s="26"/>
    </row>
    <row r="342" spans="1:7">
      <c r="A342" s="1">
        <v>41</v>
      </c>
      <c r="B342" s="2" t="s">
        <v>474</v>
      </c>
      <c r="C342" s="2" t="s">
        <v>215</v>
      </c>
      <c r="D342" s="27" t="s">
        <v>216</v>
      </c>
      <c r="E342" s="28">
        <v>661.65</v>
      </c>
      <c r="F342" s="28">
        <v>41.61</v>
      </c>
      <c r="G342" s="29">
        <v>27531.26</v>
      </c>
    </row>
    <row r="343" spans="1:7">
      <c r="A343" s="1">
        <v>42</v>
      </c>
      <c r="B343" s="2" t="s">
        <v>475</v>
      </c>
      <c r="C343" s="2" t="s">
        <v>218</v>
      </c>
      <c r="D343" s="27" t="s">
        <v>216</v>
      </c>
      <c r="E343" s="28">
        <v>3293.1</v>
      </c>
      <c r="F343" s="28">
        <v>34.27</v>
      </c>
      <c r="G343" s="29">
        <v>112854.54</v>
      </c>
    </row>
    <row r="344" spans="1:7">
      <c r="A344" s="1">
        <v>43</v>
      </c>
      <c r="B344" s="2" t="s">
        <v>476</v>
      </c>
      <c r="C344" s="2" t="s">
        <v>220</v>
      </c>
      <c r="D344" s="27" t="s">
        <v>216</v>
      </c>
      <c r="E344" s="28">
        <v>661.65</v>
      </c>
      <c r="F344" s="28">
        <v>347.2</v>
      </c>
      <c r="G344" s="29">
        <v>229724.88</v>
      </c>
    </row>
    <row r="345" spans="1:7">
      <c r="A345" s="1">
        <v>44</v>
      </c>
      <c r="B345" s="2" t="s">
        <v>477</v>
      </c>
      <c r="C345" s="2" t="s">
        <v>222</v>
      </c>
      <c r="D345" s="27" t="s">
        <v>89</v>
      </c>
      <c r="E345" s="28">
        <v>88.2</v>
      </c>
      <c r="F345" s="28">
        <v>411.04</v>
      </c>
      <c r="G345" s="29">
        <v>36253.73</v>
      </c>
    </row>
    <row r="346" ht="13" spans="1:7">
      <c r="A346" s="30" t="s">
        <v>223</v>
      </c>
      <c r="B346" s="31"/>
      <c r="C346" s="31"/>
      <c r="D346" s="31"/>
      <c r="E346" s="31"/>
      <c r="F346" s="31"/>
      <c r="G346" s="32">
        <v>406364.41</v>
      </c>
    </row>
    <row r="347" ht="12.75" spans="1:7">
      <c r="A347" s="33" t="s">
        <v>235</v>
      </c>
      <c r="B347" s="34"/>
      <c r="C347" s="34"/>
      <c r="D347" s="34"/>
      <c r="E347" s="34"/>
      <c r="F347" s="34"/>
      <c r="G347" s="35" t="s">
        <v>478</v>
      </c>
    </row>
    <row r="350" ht="27.5" spans="1:7">
      <c r="A350" s="13" t="s">
        <v>45</v>
      </c>
      <c r="B350" s="13"/>
      <c r="C350" s="13"/>
      <c r="D350" s="13"/>
      <c r="E350" s="13"/>
      <c r="F350" s="14"/>
      <c r="G350" s="14"/>
    </row>
    <row r="351" ht="13.75" spans="1:7">
      <c r="A351" s="15" t="s">
        <v>479</v>
      </c>
      <c r="B351" s="16"/>
      <c r="C351" s="16"/>
      <c r="D351" s="16"/>
      <c r="E351" s="16"/>
      <c r="F351" s="17"/>
      <c r="G351" s="17"/>
    </row>
    <row r="352" ht="13" spans="1:7">
      <c r="A352" s="18" t="s">
        <v>3</v>
      </c>
      <c r="B352" s="19" t="s">
        <v>47</v>
      </c>
      <c r="C352" s="19" t="s">
        <v>48</v>
      </c>
      <c r="D352" s="19" t="s">
        <v>49</v>
      </c>
      <c r="E352" s="19" t="s">
        <v>50</v>
      </c>
      <c r="F352" s="19" t="s">
        <v>51</v>
      </c>
      <c r="G352" s="20"/>
    </row>
    <row r="353" ht="13" spans="1:7">
      <c r="A353" s="21"/>
      <c r="B353" s="22"/>
      <c r="C353" s="22"/>
      <c r="D353" s="22"/>
      <c r="E353" s="22"/>
      <c r="F353" s="22" t="s">
        <v>52</v>
      </c>
      <c r="G353" s="23" t="s">
        <v>53</v>
      </c>
    </row>
    <row r="354" spans="1:7">
      <c r="A354" s="24"/>
      <c r="B354" s="2"/>
      <c r="C354" s="25" t="s">
        <v>480</v>
      </c>
      <c r="D354" s="2"/>
      <c r="E354" s="2"/>
      <c r="F354" s="2"/>
      <c r="G354" s="26"/>
    </row>
    <row r="355" spans="1:7">
      <c r="A355" s="1">
        <v>1</v>
      </c>
      <c r="B355" s="2" t="s">
        <v>481</v>
      </c>
      <c r="C355" s="2" t="s">
        <v>482</v>
      </c>
      <c r="D355" s="27" t="s">
        <v>57</v>
      </c>
      <c r="E355" s="28">
        <v>5006</v>
      </c>
      <c r="F355" s="28">
        <v>632.46</v>
      </c>
      <c r="G355" s="29">
        <v>3166094.76</v>
      </c>
    </row>
    <row r="356" spans="1:7">
      <c r="A356" s="1">
        <v>2</v>
      </c>
      <c r="B356" s="2" t="s">
        <v>483</v>
      </c>
      <c r="C356" s="2" t="s">
        <v>484</v>
      </c>
      <c r="D356" s="27" t="s">
        <v>69</v>
      </c>
      <c r="E356" s="28">
        <v>124.384</v>
      </c>
      <c r="F356" s="28">
        <v>4207.87</v>
      </c>
      <c r="G356" s="29">
        <v>523391.7</v>
      </c>
    </row>
    <row r="357" ht="13" spans="1:7">
      <c r="A357" s="30" t="s">
        <v>485</v>
      </c>
      <c r="B357" s="31"/>
      <c r="C357" s="31"/>
      <c r="D357" s="31"/>
      <c r="E357" s="31"/>
      <c r="F357" s="31"/>
      <c r="G357" s="32">
        <v>3689486.46</v>
      </c>
    </row>
    <row r="358" ht="12.75" spans="1:7">
      <c r="A358" s="33" t="s">
        <v>235</v>
      </c>
      <c r="B358" s="34"/>
      <c r="C358" s="34"/>
      <c r="D358" s="34"/>
      <c r="E358" s="34"/>
      <c r="F358" s="34"/>
      <c r="G358" s="35">
        <v>3689486.46</v>
      </c>
    </row>
    <row r="361" ht="27.5" spans="1:7">
      <c r="A361" s="13" t="s">
        <v>45</v>
      </c>
      <c r="B361" s="13"/>
      <c r="C361" s="13"/>
      <c r="D361" s="13"/>
      <c r="E361" s="13"/>
      <c r="F361" s="14"/>
      <c r="G361" s="14"/>
    </row>
    <row r="362" ht="13.75" spans="1:7">
      <c r="A362" s="15" t="s">
        <v>486</v>
      </c>
      <c r="B362" s="16"/>
      <c r="C362" s="16"/>
      <c r="D362" s="16"/>
      <c r="E362" s="16"/>
      <c r="F362" s="17"/>
      <c r="G362" s="17"/>
    </row>
    <row r="363" ht="13" spans="1:7">
      <c r="A363" s="18" t="s">
        <v>3</v>
      </c>
      <c r="B363" s="19" t="s">
        <v>47</v>
      </c>
      <c r="C363" s="19" t="s">
        <v>48</v>
      </c>
      <c r="D363" s="19" t="s">
        <v>49</v>
      </c>
      <c r="E363" s="19" t="s">
        <v>50</v>
      </c>
      <c r="F363" s="19" t="s">
        <v>51</v>
      </c>
      <c r="G363" s="20"/>
    </row>
    <row r="364" ht="13" spans="1:7">
      <c r="A364" s="21"/>
      <c r="B364" s="22"/>
      <c r="C364" s="22"/>
      <c r="D364" s="22"/>
      <c r="E364" s="22"/>
      <c r="F364" s="22" t="s">
        <v>52</v>
      </c>
      <c r="G364" s="23" t="s">
        <v>53</v>
      </c>
    </row>
    <row r="365" spans="1:7">
      <c r="A365" s="24"/>
      <c r="B365" s="2"/>
      <c r="C365" s="25" t="s">
        <v>487</v>
      </c>
      <c r="D365" s="2"/>
      <c r="E365" s="2"/>
      <c r="F365" s="2"/>
      <c r="G365" s="26"/>
    </row>
    <row r="366" spans="1:7">
      <c r="A366" s="1">
        <v>1</v>
      </c>
      <c r="B366" s="2" t="s">
        <v>488</v>
      </c>
      <c r="C366" s="2" t="s">
        <v>489</v>
      </c>
      <c r="D366" s="27" t="s">
        <v>216</v>
      </c>
      <c r="E366" s="28">
        <v>28513.28</v>
      </c>
      <c r="F366" s="28">
        <v>129.96</v>
      </c>
      <c r="G366" s="29">
        <v>3705585.87</v>
      </c>
    </row>
    <row r="367" spans="1:7">
      <c r="A367" s="1">
        <v>2</v>
      </c>
      <c r="B367" s="2" t="s">
        <v>490</v>
      </c>
      <c r="C367" s="2" t="s">
        <v>491</v>
      </c>
      <c r="D367" s="27" t="s">
        <v>57</v>
      </c>
      <c r="E367" s="28">
        <v>27750.81</v>
      </c>
      <c r="F367" s="28">
        <v>105.1</v>
      </c>
      <c r="G367" s="29">
        <v>2916610.13</v>
      </c>
    </row>
    <row r="368" spans="1:7">
      <c r="A368" s="1">
        <v>3</v>
      </c>
      <c r="B368" s="2" t="s">
        <v>492</v>
      </c>
      <c r="C368" s="2" t="s">
        <v>493</v>
      </c>
      <c r="D368" s="27" t="s">
        <v>57</v>
      </c>
      <c r="E368" s="28">
        <v>1240.75</v>
      </c>
      <c r="F368" s="28">
        <v>106.31</v>
      </c>
      <c r="G368" s="29">
        <v>131904.13</v>
      </c>
    </row>
    <row r="369" spans="1:7">
      <c r="A369" s="1">
        <v>4</v>
      </c>
      <c r="B369" s="2" t="s">
        <v>494</v>
      </c>
      <c r="C369" s="2" t="s">
        <v>495</v>
      </c>
      <c r="D369" s="27" t="s">
        <v>216</v>
      </c>
      <c r="E369" s="28">
        <v>39925.36</v>
      </c>
      <c r="F369" s="28">
        <v>34.9</v>
      </c>
      <c r="G369" s="29">
        <v>1393395.06</v>
      </c>
    </row>
    <row r="370" spans="1:7">
      <c r="A370" s="1">
        <v>5</v>
      </c>
      <c r="B370" s="2" t="s">
        <v>496</v>
      </c>
      <c r="C370" s="2" t="s">
        <v>497</v>
      </c>
      <c r="D370" s="27" t="s">
        <v>216</v>
      </c>
      <c r="E370" s="28">
        <v>42510</v>
      </c>
      <c r="F370" s="28">
        <v>36.61</v>
      </c>
      <c r="G370" s="29">
        <v>1556291.1</v>
      </c>
    </row>
    <row r="371" spans="1:7">
      <c r="A371" s="1">
        <v>6</v>
      </c>
      <c r="B371" s="2" t="s">
        <v>498</v>
      </c>
      <c r="C371" s="2" t="s">
        <v>499</v>
      </c>
      <c r="D371" s="27" t="s">
        <v>57</v>
      </c>
      <c r="E371" s="28">
        <v>90</v>
      </c>
      <c r="F371" s="28">
        <v>361.66</v>
      </c>
      <c r="G371" s="29">
        <v>32549.4</v>
      </c>
    </row>
    <row r="372" ht="13" spans="1:7">
      <c r="A372" s="30" t="s">
        <v>500</v>
      </c>
      <c r="B372" s="31"/>
      <c r="C372" s="31"/>
      <c r="D372" s="31"/>
      <c r="E372" s="31"/>
      <c r="F372" s="31"/>
      <c r="G372" s="32">
        <v>9736335.69</v>
      </c>
    </row>
    <row r="373" spans="1:7">
      <c r="A373" s="24"/>
      <c r="B373" s="2"/>
      <c r="C373" s="25" t="s">
        <v>501</v>
      </c>
      <c r="D373" s="2"/>
      <c r="E373" s="2"/>
      <c r="F373" s="2"/>
      <c r="G373" s="26"/>
    </row>
    <row r="374" spans="1:7">
      <c r="A374" s="1">
        <v>7</v>
      </c>
      <c r="B374" s="2" t="s">
        <v>502</v>
      </c>
      <c r="C374" s="2" t="s">
        <v>503</v>
      </c>
      <c r="D374" s="27" t="s">
        <v>216</v>
      </c>
      <c r="E374" s="28">
        <v>32539.91</v>
      </c>
      <c r="F374" s="28">
        <v>3.54</v>
      </c>
      <c r="G374" s="29">
        <v>115191.28</v>
      </c>
    </row>
    <row r="375" ht="24" spans="1:7">
      <c r="A375" s="1">
        <v>8</v>
      </c>
      <c r="B375" s="2" t="s">
        <v>504</v>
      </c>
      <c r="C375" s="2" t="s">
        <v>505</v>
      </c>
      <c r="D375" s="27" t="s">
        <v>216</v>
      </c>
      <c r="E375" s="28">
        <v>29656.52</v>
      </c>
      <c r="F375" s="28">
        <v>76.71</v>
      </c>
      <c r="G375" s="29">
        <v>2274951.65</v>
      </c>
    </row>
    <row r="376" ht="24" spans="1:7">
      <c r="A376" s="1">
        <v>9</v>
      </c>
      <c r="B376" s="2" t="s">
        <v>506</v>
      </c>
      <c r="C376" s="2" t="s">
        <v>507</v>
      </c>
      <c r="D376" s="27" t="s">
        <v>216</v>
      </c>
      <c r="E376" s="28">
        <v>29656.52</v>
      </c>
      <c r="F376" s="28">
        <v>66.98</v>
      </c>
      <c r="G376" s="29">
        <v>1986393.71</v>
      </c>
    </row>
    <row r="377" spans="1:7">
      <c r="A377" s="1">
        <v>10</v>
      </c>
      <c r="B377" s="2" t="s">
        <v>508</v>
      </c>
      <c r="C377" s="2" t="s">
        <v>509</v>
      </c>
      <c r="D377" s="27" t="s">
        <v>216</v>
      </c>
      <c r="E377" s="28">
        <v>29656.52</v>
      </c>
      <c r="F377" s="28">
        <v>82.96</v>
      </c>
      <c r="G377" s="29">
        <v>2460304.9</v>
      </c>
    </row>
    <row r="378" spans="1:7">
      <c r="A378" s="1">
        <v>11</v>
      </c>
      <c r="B378" s="2" t="s">
        <v>510</v>
      </c>
      <c r="C378" s="2" t="s">
        <v>511</v>
      </c>
      <c r="D378" s="27" t="s">
        <v>216</v>
      </c>
      <c r="E378" s="28">
        <v>29656.52</v>
      </c>
      <c r="F378" s="28">
        <v>2.72</v>
      </c>
      <c r="G378" s="29">
        <v>80665.73</v>
      </c>
    </row>
    <row r="379" spans="1:7">
      <c r="A379" s="1">
        <v>12</v>
      </c>
      <c r="B379" s="2" t="s">
        <v>512</v>
      </c>
      <c r="C379" s="2" t="s">
        <v>513</v>
      </c>
      <c r="D379" s="27" t="s">
        <v>216</v>
      </c>
      <c r="E379" s="28">
        <v>29656.52</v>
      </c>
      <c r="F379" s="28">
        <v>4.74</v>
      </c>
      <c r="G379" s="29">
        <v>140571.9</v>
      </c>
    </row>
    <row r="380" spans="1:7">
      <c r="A380" s="1">
        <v>13</v>
      </c>
      <c r="B380" s="2" t="s">
        <v>514</v>
      </c>
      <c r="C380" s="2" t="s">
        <v>515</v>
      </c>
      <c r="D380" s="27" t="s">
        <v>216</v>
      </c>
      <c r="E380" s="28">
        <v>59313.04</v>
      </c>
      <c r="F380" s="28">
        <v>8.17</v>
      </c>
      <c r="G380" s="29">
        <v>484587.54</v>
      </c>
    </row>
    <row r="381" spans="1:7">
      <c r="A381" s="1">
        <v>14</v>
      </c>
      <c r="B381" s="2" t="s">
        <v>516</v>
      </c>
      <c r="C381" s="2" t="s">
        <v>517</v>
      </c>
      <c r="D381" s="27" t="s">
        <v>216</v>
      </c>
      <c r="E381" s="28">
        <v>31381.3</v>
      </c>
      <c r="F381" s="28">
        <v>202.33</v>
      </c>
      <c r="G381" s="29">
        <v>6349378.43</v>
      </c>
    </row>
    <row r="382" spans="1:7">
      <c r="A382" s="1">
        <v>15</v>
      </c>
      <c r="B382" s="2" t="s">
        <v>518</v>
      </c>
      <c r="C382" s="2" t="s">
        <v>519</v>
      </c>
      <c r="D382" s="27" t="s">
        <v>216</v>
      </c>
      <c r="E382" s="28">
        <v>32540.02</v>
      </c>
      <c r="F382" s="28">
        <v>36.46</v>
      </c>
      <c r="G382" s="29">
        <v>1186409.13</v>
      </c>
    </row>
    <row r="383" ht="13" spans="1:7">
      <c r="A383" s="30" t="s">
        <v>520</v>
      </c>
      <c r="B383" s="31"/>
      <c r="C383" s="31"/>
      <c r="D383" s="31"/>
      <c r="E383" s="31"/>
      <c r="F383" s="31"/>
      <c r="G383" s="32" t="s">
        <v>521</v>
      </c>
    </row>
    <row r="384" spans="1:7">
      <c r="A384" s="24"/>
      <c r="B384" s="2"/>
      <c r="C384" s="25" t="s">
        <v>522</v>
      </c>
      <c r="D384" s="2"/>
      <c r="E384" s="2"/>
      <c r="F384" s="2"/>
      <c r="G384" s="26"/>
    </row>
    <row r="385" spans="1:7">
      <c r="A385" s="1">
        <v>16</v>
      </c>
      <c r="B385" s="2" t="s">
        <v>523</v>
      </c>
      <c r="C385" s="2" t="s">
        <v>503</v>
      </c>
      <c r="D385" s="27" t="s">
        <v>216</v>
      </c>
      <c r="E385" s="28">
        <v>368.74</v>
      </c>
      <c r="F385" s="28">
        <v>3.54</v>
      </c>
      <c r="G385" s="29">
        <v>1305.34</v>
      </c>
    </row>
    <row r="386" ht="24" spans="1:7">
      <c r="A386" s="1">
        <v>17</v>
      </c>
      <c r="B386" s="2" t="s">
        <v>524</v>
      </c>
      <c r="C386" s="2" t="s">
        <v>505</v>
      </c>
      <c r="D386" s="27" t="s">
        <v>216</v>
      </c>
      <c r="E386" s="28">
        <v>220.63</v>
      </c>
      <c r="F386" s="28">
        <v>76.71</v>
      </c>
      <c r="G386" s="29">
        <v>16924.53</v>
      </c>
    </row>
    <row r="387" spans="1:7">
      <c r="A387" s="1">
        <v>18</v>
      </c>
      <c r="B387" s="2" t="s">
        <v>525</v>
      </c>
      <c r="C387" s="2" t="s">
        <v>526</v>
      </c>
      <c r="D387" s="27" t="s">
        <v>216</v>
      </c>
      <c r="E387" s="28">
        <v>220.63</v>
      </c>
      <c r="F387" s="28">
        <v>74.19</v>
      </c>
      <c r="G387" s="29">
        <v>16368.54</v>
      </c>
    </row>
    <row r="388" spans="1:7">
      <c r="A388" s="1">
        <v>19</v>
      </c>
      <c r="B388" s="2" t="s">
        <v>527</v>
      </c>
      <c r="C388" s="2" t="s">
        <v>511</v>
      </c>
      <c r="D388" s="27" t="s">
        <v>216</v>
      </c>
      <c r="E388" s="28">
        <v>220.63</v>
      </c>
      <c r="F388" s="28">
        <v>2.72</v>
      </c>
      <c r="G388" s="29">
        <v>600.11</v>
      </c>
    </row>
    <row r="389" spans="1:7">
      <c r="A389" s="1">
        <v>20</v>
      </c>
      <c r="B389" s="2" t="s">
        <v>528</v>
      </c>
      <c r="C389" s="2" t="s">
        <v>513</v>
      </c>
      <c r="D389" s="27" t="s">
        <v>216</v>
      </c>
      <c r="E389" s="28">
        <v>220.63</v>
      </c>
      <c r="F389" s="28">
        <v>4.74</v>
      </c>
      <c r="G389" s="29">
        <v>1045.79</v>
      </c>
    </row>
    <row r="390" spans="1:7">
      <c r="A390" s="1">
        <v>21</v>
      </c>
      <c r="B390" s="2" t="s">
        <v>529</v>
      </c>
      <c r="C390" s="2" t="s">
        <v>530</v>
      </c>
      <c r="D390" s="27" t="s">
        <v>216</v>
      </c>
      <c r="E390" s="28">
        <v>249.98</v>
      </c>
      <c r="F390" s="28">
        <v>88.39</v>
      </c>
      <c r="G390" s="29">
        <v>22095.73</v>
      </c>
    </row>
    <row r="391" spans="1:7">
      <c r="A391" s="1">
        <v>22</v>
      </c>
      <c r="B391" s="2" t="s">
        <v>531</v>
      </c>
      <c r="C391" s="2" t="s">
        <v>519</v>
      </c>
      <c r="D391" s="27" t="s">
        <v>216</v>
      </c>
      <c r="E391" s="28">
        <v>365.13</v>
      </c>
      <c r="F391" s="28">
        <v>36.46</v>
      </c>
      <c r="G391" s="29">
        <v>13312.64</v>
      </c>
    </row>
    <row r="392" ht="13" spans="1:7">
      <c r="A392" s="30" t="s">
        <v>532</v>
      </c>
      <c r="B392" s="31"/>
      <c r="C392" s="31"/>
      <c r="D392" s="31"/>
      <c r="E392" s="31"/>
      <c r="F392" s="31"/>
      <c r="G392" s="32">
        <v>71652.68</v>
      </c>
    </row>
    <row r="393" spans="1:7">
      <c r="A393" s="24"/>
      <c r="B393" s="2"/>
      <c r="C393" s="25" t="s">
        <v>533</v>
      </c>
      <c r="D393" s="2"/>
      <c r="E393" s="2"/>
      <c r="F393" s="2"/>
      <c r="G393" s="26"/>
    </row>
    <row r="394" spans="1:7">
      <c r="A394" s="1">
        <v>23</v>
      </c>
      <c r="B394" s="2" t="s">
        <v>534</v>
      </c>
      <c r="C394" s="2" t="s">
        <v>535</v>
      </c>
      <c r="D394" s="27" t="s">
        <v>216</v>
      </c>
      <c r="E394" s="28">
        <v>10376</v>
      </c>
      <c r="F394" s="28">
        <v>7.09</v>
      </c>
      <c r="G394" s="29">
        <v>73565.84</v>
      </c>
    </row>
    <row r="395" spans="1:7">
      <c r="A395" s="1">
        <v>24</v>
      </c>
      <c r="B395" s="2" t="s">
        <v>536</v>
      </c>
      <c r="C395" s="2" t="s">
        <v>537</v>
      </c>
      <c r="D395" s="27" t="s">
        <v>216</v>
      </c>
      <c r="E395" s="28">
        <v>1631</v>
      </c>
      <c r="F395" s="28">
        <v>300.59</v>
      </c>
      <c r="G395" s="29">
        <v>490262.29</v>
      </c>
    </row>
    <row r="396" spans="1:7">
      <c r="A396" s="1">
        <v>25</v>
      </c>
      <c r="B396" s="2" t="s">
        <v>538</v>
      </c>
      <c r="C396" s="2" t="s">
        <v>539</v>
      </c>
      <c r="D396" s="27" t="s">
        <v>216</v>
      </c>
      <c r="E396" s="28">
        <v>8745</v>
      </c>
      <c r="F396" s="28">
        <v>191.9</v>
      </c>
      <c r="G396" s="29">
        <v>1678165.5</v>
      </c>
    </row>
    <row r="397" spans="1:7">
      <c r="A397" s="1">
        <v>26</v>
      </c>
      <c r="B397" s="2" t="s">
        <v>540</v>
      </c>
      <c r="C397" s="2" t="s">
        <v>541</v>
      </c>
      <c r="D397" s="27" t="s">
        <v>89</v>
      </c>
      <c r="E397" s="28">
        <v>3356.33</v>
      </c>
      <c r="F397" s="28">
        <v>77.09</v>
      </c>
      <c r="G397" s="29">
        <v>258739.48</v>
      </c>
    </row>
    <row r="398" spans="1:7">
      <c r="A398" s="1">
        <v>27</v>
      </c>
      <c r="B398" s="2" t="s">
        <v>542</v>
      </c>
      <c r="C398" s="2" t="s">
        <v>543</v>
      </c>
      <c r="D398" s="27" t="s">
        <v>89</v>
      </c>
      <c r="E398" s="28">
        <v>403</v>
      </c>
      <c r="F398" s="28">
        <v>88.88</v>
      </c>
      <c r="G398" s="29">
        <v>35818.64</v>
      </c>
    </row>
    <row r="399" spans="1:7">
      <c r="A399" s="1">
        <v>28</v>
      </c>
      <c r="B399" s="2" t="s">
        <v>544</v>
      </c>
      <c r="C399" s="2" t="s">
        <v>545</v>
      </c>
      <c r="D399" s="27" t="s">
        <v>89</v>
      </c>
      <c r="E399" s="28">
        <v>2418.5</v>
      </c>
      <c r="F399" s="28">
        <v>65.47</v>
      </c>
      <c r="G399" s="29">
        <v>158339.2</v>
      </c>
    </row>
    <row r="400" spans="1:7">
      <c r="A400" s="1">
        <v>29</v>
      </c>
      <c r="B400" s="2" t="s">
        <v>546</v>
      </c>
      <c r="C400" s="2" t="s">
        <v>547</v>
      </c>
      <c r="D400" s="27" t="s">
        <v>216</v>
      </c>
      <c r="E400" s="28">
        <v>5078.56</v>
      </c>
      <c r="F400" s="28">
        <v>16.05</v>
      </c>
      <c r="G400" s="29">
        <v>81510.89</v>
      </c>
    </row>
    <row r="401" spans="1:7">
      <c r="A401" s="1">
        <v>30</v>
      </c>
      <c r="B401" s="2" t="s">
        <v>548</v>
      </c>
      <c r="C401" s="2" t="s">
        <v>549</v>
      </c>
      <c r="D401" s="27" t="s">
        <v>216</v>
      </c>
      <c r="E401" s="28">
        <v>2513.6</v>
      </c>
      <c r="F401" s="28">
        <v>14.35</v>
      </c>
      <c r="G401" s="29">
        <v>36070.16</v>
      </c>
    </row>
    <row r="402" spans="1:7">
      <c r="A402" s="1">
        <v>31</v>
      </c>
      <c r="B402" s="2" t="s">
        <v>550</v>
      </c>
      <c r="C402" s="2" t="s">
        <v>551</v>
      </c>
      <c r="D402" s="27" t="s">
        <v>89</v>
      </c>
      <c r="E402" s="28">
        <v>2735</v>
      </c>
      <c r="F402" s="28">
        <v>74.74</v>
      </c>
      <c r="G402" s="29">
        <v>204413.9</v>
      </c>
    </row>
    <row r="403" ht="13" spans="1:7">
      <c r="A403" s="30" t="s">
        <v>552</v>
      </c>
      <c r="B403" s="31"/>
      <c r="C403" s="31"/>
      <c r="D403" s="31"/>
      <c r="E403" s="31"/>
      <c r="F403" s="31"/>
      <c r="G403" s="32">
        <v>3016885.9</v>
      </c>
    </row>
    <row r="404" spans="1:7">
      <c r="A404" s="24"/>
      <c r="B404" s="2"/>
      <c r="C404" s="25" t="s">
        <v>553</v>
      </c>
      <c r="D404" s="2"/>
      <c r="E404" s="2"/>
      <c r="F404" s="2"/>
      <c r="G404" s="26"/>
    </row>
    <row r="405" spans="1:7">
      <c r="A405" s="1">
        <v>32</v>
      </c>
      <c r="B405" s="2" t="s">
        <v>554</v>
      </c>
      <c r="C405" s="2" t="s">
        <v>555</v>
      </c>
      <c r="D405" s="27" t="s">
        <v>216</v>
      </c>
      <c r="E405" s="28">
        <v>7035</v>
      </c>
      <c r="F405" s="28">
        <v>16.98</v>
      </c>
      <c r="G405" s="29">
        <v>119454.3</v>
      </c>
    </row>
    <row r="406" ht="24" spans="1:7">
      <c r="A406" s="1">
        <v>33</v>
      </c>
      <c r="B406" s="2" t="s">
        <v>556</v>
      </c>
      <c r="C406" s="2" t="s">
        <v>505</v>
      </c>
      <c r="D406" s="27" t="s">
        <v>216</v>
      </c>
      <c r="E406" s="28">
        <v>7035</v>
      </c>
      <c r="F406" s="28">
        <v>76.71</v>
      </c>
      <c r="G406" s="29">
        <v>539654.85</v>
      </c>
    </row>
    <row r="407" ht="24" spans="1:7">
      <c r="A407" s="1">
        <v>34</v>
      </c>
      <c r="B407" s="2" t="s">
        <v>557</v>
      </c>
      <c r="C407" s="2" t="s">
        <v>507</v>
      </c>
      <c r="D407" s="27" t="s">
        <v>216</v>
      </c>
      <c r="E407" s="28">
        <v>7035</v>
      </c>
      <c r="F407" s="28">
        <v>66.98</v>
      </c>
      <c r="G407" s="29">
        <v>471204.3</v>
      </c>
    </row>
    <row r="408" spans="1:7">
      <c r="A408" s="1">
        <v>35</v>
      </c>
      <c r="B408" s="2" t="s">
        <v>558</v>
      </c>
      <c r="C408" s="2" t="s">
        <v>511</v>
      </c>
      <c r="D408" s="27" t="s">
        <v>216</v>
      </c>
      <c r="E408" s="28">
        <v>7035</v>
      </c>
      <c r="F408" s="28">
        <v>2.72</v>
      </c>
      <c r="G408" s="29">
        <v>19135.2</v>
      </c>
    </row>
    <row r="409" spans="1:7">
      <c r="A409" s="1">
        <v>36</v>
      </c>
      <c r="B409" s="2" t="s">
        <v>559</v>
      </c>
      <c r="C409" s="2" t="s">
        <v>515</v>
      </c>
      <c r="D409" s="27" t="s">
        <v>216</v>
      </c>
      <c r="E409" s="28">
        <v>7035</v>
      </c>
      <c r="F409" s="28">
        <v>8.17</v>
      </c>
      <c r="G409" s="29">
        <v>57475.95</v>
      </c>
    </row>
    <row r="410" spans="1:7">
      <c r="A410" s="1">
        <v>37</v>
      </c>
      <c r="B410" s="2" t="s">
        <v>560</v>
      </c>
      <c r="C410" s="2" t="s">
        <v>561</v>
      </c>
      <c r="D410" s="27" t="s">
        <v>216</v>
      </c>
      <c r="E410" s="28">
        <v>960</v>
      </c>
      <c r="F410" s="28">
        <v>12.56</v>
      </c>
      <c r="G410" s="29">
        <v>12057.6</v>
      </c>
    </row>
    <row r="411" spans="1:7">
      <c r="A411" s="1">
        <v>38</v>
      </c>
      <c r="B411" s="2" t="s">
        <v>562</v>
      </c>
      <c r="C411" s="2" t="s">
        <v>563</v>
      </c>
      <c r="D411" s="27" t="s">
        <v>216</v>
      </c>
      <c r="E411" s="28">
        <v>960</v>
      </c>
      <c r="F411" s="28">
        <v>33.74</v>
      </c>
      <c r="G411" s="29">
        <v>32390.4</v>
      </c>
    </row>
    <row r="412" ht="13" spans="1:7">
      <c r="A412" s="30" t="s">
        <v>564</v>
      </c>
      <c r="B412" s="31"/>
      <c r="C412" s="31"/>
      <c r="D412" s="31"/>
      <c r="E412" s="31"/>
      <c r="F412" s="31"/>
      <c r="G412" s="32">
        <v>1251372.6</v>
      </c>
    </row>
    <row r="413" spans="1:7">
      <c r="A413" s="24"/>
      <c r="B413" s="2"/>
      <c r="C413" s="25" t="s">
        <v>565</v>
      </c>
      <c r="D413" s="2"/>
      <c r="E413" s="2"/>
      <c r="F413" s="2"/>
      <c r="G413" s="26"/>
    </row>
    <row r="414" spans="1:7">
      <c r="A414" s="1">
        <v>39</v>
      </c>
      <c r="B414" s="2" t="s">
        <v>566</v>
      </c>
      <c r="C414" s="2" t="s">
        <v>567</v>
      </c>
      <c r="D414" s="27" t="s">
        <v>216</v>
      </c>
      <c r="E414" s="28">
        <v>7750.56</v>
      </c>
      <c r="F414" s="28">
        <v>32.11</v>
      </c>
      <c r="G414" s="29">
        <v>248870.48</v>
      </c>
    </row>
    <row r="415" spans="1:7">
      <c r="A415" s="1">
        <v>40</v>
      </c>
      <c r="B415" s="2" t="s">
        <v>568</v>
      </c>
      <c r="C415" s="2" t="s">
        <v>569</v>
      </c>
      <c r="D415" s="27" t="s">
        <v>216</v>
      </c>
      <c r="E415" s="28">
        <v>7750.56</v>
      </c>
      <c r="F415" s="28">
        <v>7.55</v>
      </c>
      <c r="G415" s="29">
        <v>58516.73</v>
      </c>
    </row>
    <row r="416" ht="13" spans="1:7">
      <c r="A416" s="30" t="s">
        <v>570</v>
      </c>
      <c r="B416" s="31"/>
      <c r="C416" s="31"/>
      <c r="D416" s="31"/>
      <c r="E416" s="31"/>
      <c r="F416" s="31"/>
      <c r="G416" s="32">
        <v>307387.21</v>
      </c>
    </row>
    <row r="417" spans="1:7">
      <c r="A417" s="24"/>
      <c r="B417" s="2"/>
      <c r="C417" s="25" t="s">
        <v>571</v>
      </c>
      <c r="D417" s="2"/>
      <c r="E417" s="2"/>
      <c r="F417" s="2"/>
      <c r="G417" s="26"/>
    </row>
    <row r="418" spans="1:7">
      <c r="A418" s="1">
        <v>41</v>
      </c>
      <c r="B418" s="2" t="s">
        <v>572</v>
      </c>
      <c r="C418" s="2" t="s">
        <v>573</v>
      </c>
      <c r="D418" s="27" t="s">
        <v>89</v>
      </c>
      <c r="E418" s="28">
        <v>40</v>
      </c>
      <c r="F418" s="28">
        <v>371.76</v>
      </c>
      <c r="G418" s="29">
        <v>14870.4</v>
      </c>
    </row>
    <row r="419" spans="1:7">
      <c r="A419" s="1">
        <v>42</v>
      </c>
      <c r="B419" s="2" t="s">
        <v>574</v>
      </c>
      <c r="C419" s="2" t="s">
        <v>575</v>
      </c>
      <c r="D419" s="27" t="s">
        <v>576</v>
      </c>
      <c r="E419" s="28">
        <v>60</v>
      </c>
      <c r="F419" s="28">
        <v>1335.01</v>
      </c>
      <c r="G419" s="29">
        <v>80100.6</v>
      </c>
    </row>
    <row r="420" ht="13" spans="1:7">
      <c r="A420" s="30" t="s">
        <v>577</v>
      </c>
      <c r="B420" s="31"/>
      <c r="C420" s="31"/>
      <c r="D420" s="31"/>
      <c r="E420" s="31"/>
      <c r="F420" s="31"/>
      <c r="G420" s="32">
        <v>94971</v>
      </c>
    </row>
    <row r="421" ht="12.75" spans="1:7">
      <c r="A421" s="33" t="s">
        <v>235</v>
      </c>
      <c r="B421" s="34"/>
      <c r="C421" s="34"/>
      <c r="D421" s="34"/>
      <c r="E421" s="34"/>
      <c r="F421" s="34"/>
      <c r="G421" s="35" t="s">
        <v>578</v>
      </c>
    </row>
    <row r="425" ht="27.5" spans="1:7">
      <c r="A425" s="13" t="s">
        <v>45</v>
      </c>
      <c r="B425" s="13"/>
      <c r="C425" s="13"/>
      <c r="D425" s="13"/>
      <c r="E425" s="13"/>
      <c r="F425" s="14"/>
      <c r="G425" s="14"/>
    </row>
    <row r="426" ht="13.75" spans="1:7">
      <c r="A426" s="15" t="s">
        <v>579</v>
      </c>
      <c r="B426" s="16"/>
      <c r="C426" s="16"/>
      <c r="D426" s="16"/>
      <c r="E426" s="16"/>
      <c r="F426" s="17"/>
      <c r="G426" s="17"/>
    </row>
    <row r="427" ht="13" spans="1:7">
      <c r="A427" s="18" t="s">
        <v>3</v>
      </c>
      <c r="B427" s="19" t="s">
        <v>47</v>
      </c>
      <c r="C427" s="19" t="s">
        <v>48</v>
      </c>
      <c r="D427" s="19" t="s">
        <v>49</v>
      </c>
      <c r="E427" s="19" t="s">
        <v>50</v>
      </c>
      <c r="F427" s="19" t="s">
        <v>51</v>
      </c>
      <c r="G427" s="20"/>
    </row>
    <row r="428" ht="13" spans="1:7">
      <c r="A428" s="21"/>
      <c r="B428" s="22"/>
      <c r="C428" s="22"/>
      <c r="D428" s="22"/>
      <c r="E428" s="22"/>
      <c r="F428" s="22" t="s">
        <v>52</v>
      </c>
      <c r="G428" s="23" t="s">
        <v>53</v>
      </c>
    </row>
    <row r="429" spans="1:7">
      <c r="A429" s="24"/>
      <c r="B429" s="2"/>
      <c r="C429" s="25" t="s">
        <v>580</v>
      </c>
      <c r="D429" s="2"/>
      <c r="E429" s="2"/>
      <c r="F429" s="2"/>
      <c r="G429" s="26"/>
    </row>
    <row r="430" spans="1:7">
      <c r="A430" s="1">
        <v>1</v>
      </c>
      <c r="B430" s="2" t="s">
        <v>581</v>
      </c>
      <c r="C430" s="2" t="s">
        <v>582</v>
      </c>
      <c r="D430" s="27" t="s">
        <v>231</v>
      </c>
      <c r="E430" s="28">
        <v>3</v>
      </c>
      <c r="F430" s="28">
        <v>11882.89</v>
      </c>
      <c r="G430" s="29">
        <v>35648.67</v>
      </c>
    </row>
    <row r="431" spans="1:7">
      <c r="A431" s="1">
        <v>2</v>
      </c>
      <c r="B431" s="2" t="s">
        <v>583</v>
      </c>
      <c r="C431" s="2" t="s">
        <v>584</v>
      </c>
      <c r="D431" s="27" t="s">
        <v>231</v>
      </c>
      <c r="E431" s="28">
        <v>12</v>
      </c>
      <c r="F431" s="28">
        <v>12837.51</v>
      </c>
      <c r="G431" s="29">
        <v>154050.12</v>
      </c>
    </row>
    <row r="432" spans="1:7">
      <c r="A432" s="1">
        <v>3</v>
      </c>
      <c r="B432" s="2" t="s">
        <v>585</v>
      </c>
      <c r="C432" s="2" t="s">
        <v>586</v>
      </c>
      <c r="D432" s="27" t="s">
        <v>231</v>
      </c>
      <c r="E432" s="28">
        <v>2</v>
      </c>
      <c r="F432" s="28">
        <v>14423.48</v>
      </c>
      <c r="G432" s="29">
        <v>28846.96</v>
      </c>
    </row>
    <row r="433" spans="1:7">
      <c r="A433" s="1">
        <v>4</v>
      </c>
      <c r="B433" s="2" t="s">
        <v>587</v>
      </c>
      <c r="C433" s="2" t="s">
        <v>588</v>
      </c>
      <c r="D433" s="27" t="s">
        <v>231</v>
      </c>
      <c r="E433" s="28">
        <v>3</v>
      </c>
      <c r="F433" s="28">
        <v>17976.02</v>
      </c>
      <c r="G433" s="29">
        <v>53928.06</v>
      </c>
    </row>
    <row r="434" spans="1:7">
      <c r="A434" s="1">
        <v>5</v>
      </c>
      <c r="B434" s="2" t="s">
        <v>589</v>
      </c>
      <c r="C434" s="2" t="s">
        <v>590</v>
      </c>
      <c r="D434" s="27" t="s">
        <v>231</v>
      </c>
      <c r="E434" s="28">
        <v>1</v>
      </c>
      <c r="F434" s="28">
        <v>18748.46</v>
      </c>
      <c r="G434" s="29">
        <v>18748.46</v>
      </c>
    </row>
    <row r="435" spans="1:7">
      <c r="A435" s="1">
        <v>6</v>
      </c>
      <c r="B435" s="2" t="s">
        <v>591</v>
      </c>
      <c r="C435" s="2" t="s">
        <v>592</v>
      </c>
      <c r="D435" s="27" t="s">
        <v>231</v>
      </c>
      <c r="E435" s="28">
        <v>1</v>
      </c>
      <c r="F435" s="28">
        <v>14401.11</v>
      </c>
      <c r="G435" s="29">
        <v>14401.11</v>
      </c>
    </row>
    <row r="436" spans="1:7">
      <c r="A436" s="1">
        <v>7</v>
      </c>
      <c r="B436" s="2" t="s">
        <v>593</v>
      </c>
      <c r="C436" s="2" t="s">
        <v>594</v>
      </c>
      <c r="D436" s="27" t="s">
        <v>231</v>
      </c>
      <c r="E436" s="28">
        <v>1</v>
      </c>
      <c r="F436" s="28">
        <v>17723.18</v>
      </c>
      <c r="G436" s="29">
        <v>17723.18</v>
      </c>
    </row>
    <row r="437" spans="1:7">
      <c r="A437" s="1">
        <v>8</v>
      </c>
      <c r="B437" s="2" t="s">
        <v>595</v>
      </c>
      <c r="C437" s="2" t="s">
        <v>596</v>
      </c>
      <c r="D437" s="27" t="s">
        <v>231</v>
      </c>
      <c r="E437" s="28">
        <v>4</v>
      </c>
      <c r="F437" s="28">
        <v>16284.74</v>
      </c>
      <c r="G437" s="29">
        <v>65138.96</v>
      </c>
    </row>
    <row r="438" spans="1:7">
      <c r="A438" s="1">
        <v>9</v>
      </c>
      <c r="B438" s="2" t="s">
        <v>597</v>
      </c>
      <c r="C438" s="2" t="s">
        <v>598</v>
      </c>
      <c r="D438" s="27" t="s">
        <v>231</v>
      </c>
      <c r="E438" s="28">
        <v>1</v>
      </c>
      <c r="F438" s="28">
        <v>20031.36</v>
      </c>
      <c r="G438" s="29">
        <v>20031.36</v>
      </c>
    </row>
    <row r="439" spans="1:7">
      <c r="A439" s="1">
        <v>10</v>
      </c>
      <c r="B439" s="2" t="s">
        <v>599</v>
      </c>
      <c r="C439" s="2" t="s">
        <v>600</v>
      </c>
      <c r="D439" s="27" t="s">
        <v>231</v>
      </c>
      <c r="E439" s="28">
        <v>3</v>
      </c>
      <c r="F439" s="28">
        <v>17409.87</v>
      </c>
      <c r="G439" s="29">
        <v>52229.61</v>
      </c>
    </row>
    <row r="440" spans="1:7">
      <c r="A440" s="1">
        <v>11</v>
      </c>
      <c r="B440" s="2" t="s">
        <v>601</v>
      </c>
      <c r="C440" s="2" t="s">
        <v>602</v>
      </c>
      <c r="D440" s="27" t="s">
        <v>231</v>
      </c>
      <c r="E440" s="28">
        <v>1</v>
      </c>
      <c r="F440" s="28">
        <v>21487.72</v>
      </c>
      <c r="G440" s="29">
        <v>21487.72</v>
      </c>
    </row>
    <row r="441" spans="1:7">
      <c r="A441" s="1">
        <v>12</v>
      </c>
      <c r="B441" s="2" t="s">
        <v>603</v>
      </c>
      <c r="C441" s="2" t="s">
        <v>604</v>
      </c>
      <c r="D441" s="27" t="s">
        <v>231</v>
      </c>
      <c r="E441" s="28">
        <v>2</v>
      </c>
      <c r="F441" s="28">
        <v>17940.7</v>
      </c>
      <c r="G441" s="29">
        <v>35881.4</v>
      </c>
    </row>
    <row r="442" spans="1:7">
      <c r="A442" s="1">
        <v>13</v>
      </c>
      <c r="B442" s="2" t="s">
        <v>605</v>
      </c>
      <c r="C442" s="2" t="s">
        <v>606</v>
      </c>
      <c r="D442" s="27" t="s">
        <v>231</v>
      </c>
      <c r="E442" s="28">
        <v>5</v>
      </c>
      <c r="F442" s="28">
        <v>20143.71</v>
      </c>
      <c r="G442" s="29">
        <v>100718.55</v>
      </c>
    </row>
    <row r="443" spans="1:7">
      <c r="A443" s="1">
        <v>14</v>
      </c>
      <c r="B443" s="2" t="s">
        <v>607</v>
      </c>
      <c r="C443" s="2" t="s">
        <v>608</v>
      </c>
      <c r="D443" s="27" t="s">
        <v>231</v>
      </c>
      <c r="E443" s="28">
        <v>1</v>
      </c>
      <c r="F443" s="28">
        <v>29172.76</v>
      </c>
      <c r="G443" s="29">
        <v>29172.76</v>
      </c>
    </row>
    <row r="444" spans="1:7">
      <c r="A444" s="1">
        <v>15</v>
      </c>
      <c r="B444" s="2" t="s">
        <v>609</v>
      </c>
      <c r="C444" s="2" t="s">
        <v>610</v>
      </c>
      <c r="D444" s="27" t="s">
        <v>231</v>
      </c>
      <c r="E444" s="28">
        <v>2</v>
      </c>
      <c r="F444" s="28">
        <v>31034.18</v>
      </c>
      <c r="G444" s="29">
        <v>62068.36</v>
      </c>
    </row>
    <row r="445" spans="1:7">
      <c r="A445" s="1">
        <v>16</v>
      </c>
      <c r="B445" s="2" t="s">
        <v>611</v>
      </c>
      <c r="C445" s="2" t="s">
        <v>612</v>
      </c>
      <c r="D445" s="27" t="s">
        <v>231</v>
      </c>
      <c r="E445" s="28">
        <v>2</v>
      </c>
      <c r="F445" s="28">
        <v>26922.62</v>
      </c>
      <c r="G445" s="29">
        <v>53845.24</v>
      </c>
    </row>
    <row r="446" spans="1:7">
      <c r="A446" s="1">
        <v>17</v>
      </c>
      <c r="B446" s="2" t="s">
        <v>613</v>
      </c>
      <c r="C446" s="2" t="s">
        <v>614</v>
      </c>
      <c r="D446" s="27" t="s">
        <v>231</v>
      </c>
      <c r="E446" s="28">
        <v>1</v>
      </c>
      <c r="F446" s="28">
        <v>28332.01</v>
      </c>
      <c r="G446" s="29">
        <v>28332.01</v>
      </c>
    </row>
    <row r="447" spans="1:7">
      <c r="A447" s="1">
        <v>18</v>
      </c>
      <c r="B447" s="2" t="s">
        <v>615</v>
      </c>
      <c r="C447" s="2" t="s">
        <v>616</v>
      </c>
      <c r="D447" s="27" t="s">
        <v>231</v>
      </c>
      <c r="E447" s="28">
        <v>2</v>
      </c>
      <c r="F447" s="28">
        <v>29123.79</v>
      </c>
      <c r="G447" s="29">
        <v>58247.58</v>
      </c>
    </row>
    <row r="448" spans="1:7">
      <c r="A448" s="1">
        <v>19</v>
      </c>
      <c r="B448" s="2" t="s">
        <v>617</v>
      </c>
      <c r="C448" s="2" t="s">
        <v>618</v>
      </c>
      <c r="D448" s="27" t="s">
        <v>231</v>
      </c>
      <c r="E448" s="28">
        <v>1</v>
      </c>
      <c r="F448" s="28">
        <v>29184.55</v>
      </c>
      <c r="G448" s="29">
        <v>29184.55</v>
      </c>
    </row>
    <row r="449" spans="1:7">
      <c r="A449" s="1">
        <v>20</v>
      </c>
      <c r="B449" s="2" t="s">
        <v>619</v>
      </c>
      <c r="C449" s="2" t="s">
        <v>620</v>
      </c>
      <c r="D449" s="27" t="s">
        <v>231</v>
      </c>
      <c r="E449" s="28">
        <v>1</v>
      </c>
      <c r="F449" s="28">
        <v>21827.72</v>
      </c>
      <c r="G449" s="29">
        <v>21827.72</v>
      </c>
    </row>
    <row r="450" spans="1:7">
      <c r="A450" s="1">
        <v>21</v>
      </c>
      <c r="B450" s="2" t="s">
        <v>621</v>
      </c>
      <c r="C450" s="2" t="s">
        <v>622</v>
      </c>
      <c r="D450" s="27" t="s">
        <v>231</v>
      </c>
      <c r="E450" s="28">
        <v>1</v>
      </c>
      <c r="F450" s="28">
        <v>23744.33</v>
      </c>
      <c r="G450" s="29">
        <v>23744.33</v>
      </c>
    </row>
    <row r="451" spans="1:7">
      <c r="A451" s="1">
        <v>22</v>
      </c>
      <c r="B451" s="2" t="s">
        <v>623</v>
      </c>
      <c r="C451" s="2" t="s">
        <v>624</v>
      </c>
      <c r="D451" s="27" t="s">
        <v>231</v>
      </c>
      <c r="E451" s="28">
        <v>1</v>
      </c>
      <c r="F451" s="28">
        <v>18597.52</v>
      </c>
      <c r="G451" s="29">
        <v>18597.52</v>
      </c>
    </row>
    <row r="452" spans="1:7">
      <c r="A452" s="1">
        <v>23</v>
      </c>
      <c r="B452" s="2" t="s">
        <v>625</v>
      </c>
      <c r="C452" s="2" t="s">
        <v>626</v>
      </c>
      <c r="D452" s="27" t="s">
        <v>231</v>
      </c>
      <c r="E452" s="28">
        <v>1</v>
      </c>
      <c r="F452" s="28">
        <v>25241.96</v>
      </c>
      <c r="G452" s="29">
        <v>25241.96</v>
      </c>
    </row>
    <row r="453" spans="1:7">
      <c r="A453" s="1">
        <v>24</v>
      </c>
      <c r="B453" s="2" t="s">
        <v>627</v>
      </c>
      <c r="C453" s="2" t="s">
        <v>628</v>
      </c>
      <c r="D453" s="27" t="s">
        <v>231</v>
      </c>
      <c r="E453" s="28">
        <v>5</v>
      </c>
      <c r="F453" s="28">
        <v>19015.17</v>
      </c>
      <c r="G453" s="29">
        <v>95075.85</v>
      </c>
    </row>
    <row r="454" spans="1:7">
      <c r="A454" s="1">
        <v>25</v>
      </c>
      <c r="B454" s="2" t="s">
        <v>629</v>
      </c>
      <c r="C454" s="2" t="s">
        <v>630</v>
      </c>
      <c r="D454" s="27" t="s">
        <v>231</v>
      </c>
      <c r="E454" s="28">
        <v>1</v>
      </c>
      <c r="F454" s="28">
        <v>22508.25</v>
      </c>
      <c r="G454" s="29">
        <v>22508.25</v>
      </c>
    </row>
    <row r="455" spans="1:7">
      <c r="A455" s="1">
        <v>26</v>
      </c>
      <c r="B455" s="2" t="s">
        <v>631</v>
      </c>
      <c r="C455" s="2" t="s">
        <v>632</v>
      </c>
      <c r="D455" s="27" t="s">
        <v>231</v>
      </c>
      <c r="E455" s="28">
        <v>3</v>
      </c>
      <c r="F455" s="28">
        <v>26608.82</v>
      </c>
      <c r="G455" s="29">
        <v>79826.46</v>
      </c>
    </row>
    <row r="456" spans="1:7">
      <c r="A456" s="1">
        <v>27</v>
      </c>
      <c r="B456" s="2" t="s">
        <v>633</v>
      </c>
      <c r="C456" s="2" t="s">
        <v>634</v>
      </c>
      <c r="D456" s="27" t="s">
        <v>231</v>
      </c>
      <c r="E456" s="28">
        <v>4</v>
      </c>
      <c r="F456" s="28">
        <v>28659.11</v>
      </c>
      <c r="G456" s="29">
        <v>114636.44</v>
      </c>
    </row>
    <row r="457" spans="1:7">
      <c r="A457" s="1">
        <v>28</v>
      </c>
      <c r="B457" s="2" t="s">
        <v>635</v>
      </c>
      <c r="C457" s="2" t="s">
        <v>636</v>
      </c>
      <c r="D457" s="27" t="s">
        <v>231</v>
      </c>
      <c r="E457" s="28">
        <v>3</v>
      </c>
      <c r="F457" s="28">
        <v>30367.68</v>
      </c>
      <c r="G457" s="29">
        <v>91103.04</v>
      </c>
    </row>
    <row r="458" ht="24" spans="1:7">
      <c r="A458" s="1">
        <v>29</v>
      </c>
      <c r="B458" s="2" t="s">
        <v>637</v>
      </c>
      <c r="C458" s="2" t="s">
        <v>638</v>
      </c>
      <c r="D458" s="27" t="s">
        <v>231</v>
      </c>
      <c r="E458" s="28">
        <v>1</v>
      </c>
      <c r="F458" s="28">
        <v>35493.39</v>
      </c>
      <c r="G458" s="29">
        <v>35493.39</v>
      </c>
    </row>
    <row r="459" spans="1:7">
      <c r="A459" s="1">
        <v>30</v>
      </c>
      <c r="B459" s="2" t="s">
        <v>639</v>
      </c>
      <c r="C459" s="2" t="s">
        <v>640</v>
      </c>
      <c r="D459" s="27" t="s">
        <v>231</v>
      </c>
      <c r="E459" s="28">
        <v>1</v>
      </c>
      <c r="F459" s="28">
        <v>20685.77</v>
      </c>
      <c r="G459" s="29">
        <v>20685.77</v>
      </c>
    </row>
    <row r="460" spans="1:7">
      <c r="A460" s="1">
        <v>31</v>
      </c>
      <c r="B460" s="2" t="s">
        <v>641</v>
      </c>
      <c r="C460" s="2" t="s">
        <v>642</v>
      </c>
      <c r="D460" s="27" t="s">
        <v>231</v>
      </c>
      <c r="E460" s="28">
        <v>1</v>
      </c>
      <c r="F460" s="28">
        <v>30367.68</v>
      </c>
      <c r="G460" s="29">
        <v>30367.68</v>
      </c>
    </row>
    <row r="461" spans="1:7">
      <c r="A461" s="1">
        <v>32</v>
      </c>
      <c r="B461" s="2" t="s">
        <v>643</v>
      </c>
      <c r="C461" s="2" t="s">
        <v>644</v>
      </c>
      <c r="D461" s="27" t="s">
        <v>231</v>
      </c>
      <c r="E461" s="28">
        <v>1</v>
      </c>
      <c r="F461" s="28">
        <v>50883.61</v>
      </c>
      <c r="G461" s="29">
        <v>50883.61</v>
      </c>
    </row>
    <row r="462" spans="1:7">
      <c r="A462" s="1">
        <v>33</v>
      </c>
      <c r="B462" s="2" t="s">
        <v>645</v>
      </c>
      <c r="C462" s="2" t="s">
        <v>646</v>
      </c>
      <c r="D462" s="27" t="s">
        <v>231</v>
      </c>
      <c r="E462" s="28">
        <v>1</v>
      </c>
      <c r="F462" s="28">
        <v>109091.29</v>
      </c>
      <c r="G462" s="29">
        <v>109091.29</v>
      </c>
    </row>
    <row r="463" spans="1:7">
      <c r="A463" s="1">
        <v>34</v>
      </c>
      <c r="B463" s="2" t="s">
        <v>647</v>
      </c>
      <c r="C463" s="2" t="s">
        <v>648</v>
      </c>
      <c r="D463" s="27" t="s">
        <v>231</v>
      </c>
      <c r="E463" s="28">
        <v>1</v>
      </c>
      <c r="F463" s="28">
        <v>189679.61</v>
      </c>
      <c r="G463" s="29">
        <v>189679.61</v>
      </c>
    </row>
    <row r="464" spans="1:7">
      <c r="A464" s="1">
        <v>35</v>
      </c>
      <c r="B464" s="2" t="s">
        <v>649</v>
      </c>
      <c r="C464" s="2" t="s">
        <v>650</v>
      </c>
      <c r="D464" s="27" t="s">
        <v>231</v>
      </c>
      <c r="E464" s="28">
        <v>1</v>
      </c>
      <c r="F464" s="28">
        <v>54307.18</v>
      </c>
      <c r="G464" s="29">
        <v>54307.18</v>
      </c>
    </row>
    <row r="465" spans="1:7">
      <c r="A465" s="1">
        <v>36</v>
      </c>
      <c r="B465" s="2" t="s">
        <v>651</v>
      </c>
      <c r="C465" s="2" t="s">
        <v>652</v>
      </c>
      <c r="D465" s="27" t="s">
        <v>231</v>
      </c>
      <c r="E465" s="28">
        <v>1</v>
      </c>
      <c r="F465" s="28">
        <v>64701.48</v>
      </c>
      <c r="G465" s="29">
        <v>64701.48</v>
      </c>
    </row>
    <row r="466" ht="24" spans="1:7">
      <c r="A466" s="1">
        <v>37</v>
      </c>
      <c r="B466" s="2" t="s">
        <v>653</v>
      </c>
      <c r="C466" s="2" t="s">
        <v>654</v>
      </c>
      <c r="D466" s="27" t="s">
        <v>231</v>
      </c>
      <c r="E466" s="28">
        <v>1</v>
      </c>
      <c r="F466" s="28">
        <v>138778.45</v>
      </c>
      <c r="G466" s="29">
        <v>138778.45</v>
      </c>
    </row>
    <row r="467" spans="1:7">
      <c r="A467" s="1">
        <v>38</v>
      </c>
      <c r="B467" s="2" t="s">
        <v>655</v>
      </c>
      <c r="C467" s="2" t="s">
        <v>656</v>
      </c>
      <c r="D467" s="27" t="s">
        <v>231</v>
      </c>
      <c r="E467" s="28">
        <v>1</v>
      </c>
      <c r="F467" s="28">
        <v>8861.65</v>
      </c>
      <c r="G467" s="29">
        <v>8861.65</v>
      </c>
    </row>
    <row r="468" spans="1:7">
      <c r="A468" s="1">
        <v>39</v>
      </c>
      <c r="B468" s="2" t="s">
        <v>657</v>
      </c>
      <c r="C468" s="2" t="s">
        <v>658</v>
      </c>
      <c r="D468" s="27" t="s">
        <v>231</v>
      </c>
      <c r="E468" s="28">
        <v>3</v>
      </c>
      <c r="F468" s="28">
        <v>45630.74</v>
      </c>
      <c r="G468" s="29">
        <v>136892.22</v>
      </c>
    </row>
    <row r="469" spans="1:7">
      <c r="A469" s="1">
        <v>40</v>
      </c>
      <c r="B469" s="2" t="s">
        <v>659</v>
      </c>
      <c r="C469" s="2" t="s">
        <v>660</v>
      </c>
      <c r="D469" s="27" t="s">
        <v>231</v>
      </c>
      <c r="E469" s="28">
        <v>1</v>
      </c>
      <c r="F469" s="28">
        <v>68450.27</v>
      </c>
      <c r="G469" s="29">
        <v>68450.27</v>
      </c>
    </row>
    <row r="470" spans="1:7">
      <c r="A470" s="1">
        <v>41</v>
      </c>
      <c r="B470" s="2" t="s">
        <v>661</v>
      </c>
      <c r="C470" s="2" t="s">
        <v>662</v>
      </c>
      <c r="D470" s="27" t="s">
        <v>231</v>
      </c>
      <c r="E470" s="28">
        <v>3</v>
      </c>
      <c r="F470" s="28">
        <v>64025.63</v>
      </c>
      <c r="G470" s="29">
        <v>192076.89</v>
      </c>
    </row>
    <row r="471" spans="1:7">
      <c r="A471" s="1">
        <v>42</v>
      </c>
      <c r="B471" s="2" t="s">
        <v>663</v>
      </c>
      <c r="C471" s="2" t="s">
        <v>664</v>
      </c>
      <c r="D471" s="27" t="s">
        <v>231</v>
      </c>
      <c r="E471" s="28">
        <v>64</v>
      </c>
      <c r="F471" s="28">
        <v>6788.44</v>
      </c>
      <c r="G471" s="29">
        <v>434460.16</v>
      </c>
    </row>
    <row r="472" ht="13" spans="1:7">
      <c r="A472" s="30" t="s">
        <v>665</v>
      </c>
      <c r="B472" s="31"/>
      <c r="C472" s="31"/>
      <c r="D472" s="31"/>
      <c r="E472" s="31"/>
      <c r="F472" s="31"/>
      <c r="G472" s="32">
        <v>2906975.88</v>
      </c>
    </row>
    <row r="473" spans="1:7">
      <c r="A473" s="24"/>
      <c r="B473" s="2"/>
      <c r="C473" s="25" t="s">
        <v>666</v>
      </c>
      <c r="D473" s="2"/>
      <c r="E473" s="2"/>
      <c r="F473" s="2"/>
      <c r="G473" s="26"/>
    </row>
    <row r="474" spans="1:7">
      <c r="A474" s="1">
        <v>43</v>
      </c>
      <c r="B474" s="2" t="s">
        <v>667</v>
      </c>
      <c r="C474" s="2" t="s">
        <v>668</v>
      </c>
      <c r="D474" s="27" t="s">
        <v>57</v>
      </c>
      <c r="E474" s="28">
        <v>553.63</v>
      </c>
      <c r="F474" s="28">
        <v>1513.73</v>
      </c>
      <c r="G474" s="29">
        <v>838046.34</v>
      </c>
    </row>
    <row r="475" spans="1:7">
      <c r="A475" s="1">
        <v>44</v>
      </c>
      <c r="B475" s="2" t="s">
        <v>669</v>
      </c>
      <c r="C475" s="2" t="s">
        <v>80</v>
      </c>
      <c r="D475" s="27" t="s">
        <v>57</v>
      </c>
      <c r="E475" s="28">
        <v>887.68</v>
      </c>
      <c r="F475" s="28">
        <v>1818.77</v>
      </c>
      <c r="G475" s="29">
        <v>1614485.75</v>
      </c>
    </row>
    <row r="476" spans="1:7">
      <c r="A476" s="1">
        <v>45</v>
      </c>
      <c r="B476" s="2" t="s">
        <v>670</v>
      </c>
      <c r="C476" s="2" t="s">
        <v>671</v>
      </c>
      <c r="D476" s="27" t="s">
        <v>89</v>
      </c>
      <c r="E476" s="28">
        <v>722</v>
      </c>
      <c r="F476" s="28">
        <v>628.94</v>
      </c>
      <c r="G476" s="29">
        <v>454094.68</v>
      </c>
    </row>
    <row r="477" spans="1:7">
      <c r="A477" s="1">
        <v>46</v>
      </c>
      <c r="B477" s="2" t="s">
        <v>672</v>
      </c>
      <c r="C477" s="2" t="s">
        <v>91</v>
      </c>
      <c r="D477" s="27" t="s">
        <v>69</v>
      </c>
      <c r="E477" s="28">
        <v>65.326</v>
      </c>
      <c r="F477" s="28">
        <v>5912.43</v>
      </c>
      <c r="G477" s="29">
        <v>386235.4</v>
      </c>
    </row>
    <row r="478" spans="1:7">
      <c r="A478" s="1">
        <v>47</v>
      </c>
      <c r="B478" s="2" t="s">
        <v>673</v>
      </c>
      <c r="C478" s="2" t="s">
        <v>674</v>
      </c>
      <c r="D478" s="27" t="s">
        <v>57</v>
      </c>
      <c r="E478" s="28">
        <v>312.48</v>
      </c>
      <c r="F478" s="28">
        <v>967.35</v>
      </c>
      <c r="G478" s="29">
        <v>302277.53</v>
      </c>
    </row>
    <row r="479" spans="1:7">
      <c r="A479" s="1">
        <v>48</v>
      </c>
      <c r="B479" s="2" t="s">
        <v>675</v>
      </c>
      <c r="C479" s="2" t="s">
        <v>676</v>
      </c>
      <c r="D479" s="27" t="s">
        <v>57</v>
      </c>
      <c r="E479" s="28">
        <v>367.16</v>
      </c>
      <c r="F479" s="28">
        <v>132.76</v>
      </c>
      <c r="G479" s="29">
        <v>48744.16</v>
      </c>
    </row>
    <row r="480" spans="1:7">
      <c r="A480" s="1">
        <v>49</v>
      </c>
      <c r="B480" s="2" t="s">
        <v>677</v>
      </c>
      <c r="C480" s="2" t="s">
        <v>678</v>
      </c>
      <c r="D480" s="27" t="s">
        <v>57</v>
      </c>
      <c r="E480" s="28">
        <v>42.08</v>
      </c>
      <c r="F480" s="28">
        <v>2861.08</v>
      </c>
      <c r="G480" s="29">
        <v>120394.25</v>
      </c>
    </row>
    <row r="481" spans="1:7">
      <c r="A481" s="1">
        <v>50</v>
      </c>
      <c r="B481" s="2" t="s">
        <v>679</v>
      </c>
      <c r="C481" s="2" t="s">
        <v>135</v>
      </c>
      <c r="D481" s="27" t="s">
        <v>69</v>
      </c>
      <c r="E481" s="28">
        <v>14.1</v>
      </c>
      <c r="F481" s="28">
        <v>2366.21</v>
      </c>
      <c r="G481" s="29">
        <v>33363.56</v>
      </c>
    </row>
    <row r="482" spans="1:7">
      <c r="A482" s="1">
        <v>51</v>
      </c>
      <c r="B482" s="2" t="s">
        <v>680</v>
      </c>
      <c r="C482" s="2" t="s">
        <v>681</v>
      </c>
      <c r="D482" s="27" t="s">
        <v>231</v>
      </c>
      <c r="E482" s="28">
        <v>1</v>
      </c>
      <c r="F482" s="28">
        <v>308265.95</v>
      </c>
      <c r="G482" s="29">
        <v>308265.95</v>
      </c>
    </row>
    <row r="483" ht="13" spans="1:7">
      <c r="A483" s="30" t="s">
        <v>682</v>
      </c>
      <c r="B483" s="31"/>
      <c r="C483" s="31"/>
      <c r="D483" s="31"/>
      <c r="E483" s="31"/>
      <c r="F483" s="31"/>
      <c r="G483" s="32">
        <v>4105907.62</v>
      </c>
    </row>
    <row r="484" spans="1:7">
      <c r="A484" s="24"/>
      <c r="B484" s="2"/>
      <c r="C484" s="25" t="s">
        <v>683</v>
      </c>
      <c r="D484" s="2"/>
      <c r="E484" s="2"/>
      <c r="F484" s="2"/>
      <c r="G484" s="26"/>
    </row>
    <row r="485" spans="1:7">
      <c r="A485" s="1">
        <v>52</v>
      </c>
      <c r="B485" s="2" t="s">
        <v>684</v>
      </c>
      <c r="C485" s="2" t="s">
        <v>685</v>
      </c>
      <c r="D485" s="27" t="s">
        <v>69</v>
      </c>
      <c r="E485" s="28">
        <v>56.11</v>
      </c>
      <c r="F485" s="28">
        <v>11822.94</v>
      </c>
      <c r="G485" s="29">
        <v>663385.16</v>
      </c>
    </row>
    <row r="486" spans="1:7">
      <c r="A486" s="1">
        <v>53</v>
      </c>
      <c r="B486" s="2" t="s">
        <v>686</v>
      </c>
      <c r="C486" s="2" t="s">
        <v>687</v>
      </c>
      <c r="D486" s="27" t="s">
        <v>57</v>
      </c>
      <c r="E486" s="28">
        <v>149.36</v>
      </c>
      <c r="F486" s="28">
        <v>246.5</v>
      </c>
      <c r="G486" s="29">
        <v>36817.24</v>
      </c>
    </row>
    <row r="487" spans="1:7">
      <c r="A487" s="1">
        <v>54</v>
      </c>
      <c r="B487" s="2" t="s">
        <v>688</v>
      </c>
      <c r="C487" s="2" t="s">
        <v>674</v>
      </c>
      <c r="D487" s="27" t="s">
        <v>57</v>
      </c>
      <c r="E487" s="28">
        <v>61.05</v>
      </c>
      <c r="F487" s="28">
        <v>1162.12</v>
      </c>
      <c r="G487" s="29">
        <v>70947.43</v>
      </c>
    </row>
    <row r="488" spans="1:7">
      <c r="A488" s="1">
        <v>55</v>
      </c>
      <c r="B488" s="2" t="s">
        <v>689</v>
      </c>
      <c r="C488" s="2" t="s">
        <v>690</v>
      </c>
      <c r="D488" s="27" t="s">
        <v>57</v>
      </c>
      <c r="E488" s="28">
        <v>321.7</v>
      </c>
      <c r="F488" s="28">
        <v>1507.55</v>
      </c>
      <c r="G488" s="29">
        <v>484978.84</v>
      </c>
    </row>
    <row r="489" spans="1:7">
      <c r="A489" s="1">
        <v>56</v>
      </c>
      <c r="B489" s="2" t="s">
        <v>691</v>
      </c>
      <c r="C489" s="2" t="s">
        <v>692</v>
      </c>
      <c r="D489" s="27" t="s">
        <v>231</v>
      </c>
      <c r="E489" s="28">
        <v>1</v>
      </c>
      <c r="F489" s="28">
        <v>94934.34</v>
      </c>
      <c r="G489" s="29">
        <v>94934.34</v>
      </c>
    </row>
    <row r="490" spans="1:7">
      <c r="A490" s="1">
        <v>57</v>
      </c>
      <c r="B490" s="2" t="s">
        <v>693</v>
      </c>
      <c r="C490" s="2" t="s">
        <v>694</v>
      </c>
      <c r="D490" s="27" t="s">
        <v>57</v>
      </c>
      <c r="E490" s="28">
        <v>36.2</v>
      </c>
      <c r="F490" s="28">
        <v>348.38</v>
      </c>
      <c r="G490" s="29">
        <v>12611.36</v>
      </c>
    </row>
    <row r="491" ht="13" spans="1:7">
      <c r="A491" s="30" t="s">
        <v>695</v>
      </c>
      <c r="B491" s="31"/>
      <c r="C491" s="31"/>
      <c r="D491" s="31"/>
      <c r="E491" s="31"/>
      <c r="F491" s="31"/>
      <c r="G491" s="32">
        <v>1363674.37</v>
      </c>
    </row>
    <row r="492" ht="24" spans="1:7">
      <c r="A492" s="24"/>
      <c r="B492" s="2"/>
      <c r="C492" s="25" t="s">
        <v>696</v>
      </c>
      <c r="D492" s="2"/>
      <c r="E492" s="2"/>
      <c r="F492" s="2"/>
      <c r="G492" s="26"/>
    </row>
    <row r="493" spans="1:7">
      <c r="A493" s="1">
        <v>58</v>
      </c>
      <c r="B493" s="2" t="s">
        <v>697</v>
      </c>
      <c r="C493" s="2" t="s">
        <v>698</v>
      </c>
      <c r="D493" s="27" t="s">
        <v>231</v>
      </c>
      <c r="E493" s="28">
        <v>1</v>
      </c>
      <c r="F493" s="28">
        <v>111751.95</v>
      </c>
      <c r="G493" s="29">
        <v>111751.95</v>
      </c>
    </row>
    <row r="494" ht="13" spans="1:7">
      <c r="A494" s="30" t="s">
        <v>699</v>
      </c>
      <c r="B494" s="31"/>
      <c r="C494" s="31"/>
      <c r="D494" s="31"/>
      <c r="E494" s="31"/>
      <c r="F494" s="31"/>
      <c r="G494" s="32">
        <v>111751.95</v>
      </c>
    </row>
    <row r="495" spans="1:7">
      <c r="A495" s="24"/>
      <c r="B495" s="2"/>
      <c r="C495" s="25" t="s">
        <v>700</v>
      </c>
      <c r="D495" s="2"/>
      <c r="E495" s="2"/>
      <c r="F495" s="2"/>
      <c r="G495" s="26"/>
    </row>
    <row r="496" spans="1:7">
      <c r="A496" s="1">
        <v>59</v>
      </c>
      <c r="B496" s="2" t="s">
        <v>701</v>
      </c>
      <c r="C496" s="2" t="s">
        <v>685</v>
      </c>
      <c r="D496" s="27" t="s">
        <v>69</v>
      </c>
      <c r="E496" s="28">
        <v>87.08</v>
      </c>
      <c r="F496" s="28">
        <v>11822.94</v>
      </c>
      <c r="G496" s="29">
        <v>1029541.62</v>
      </c>
    </row>
    <row r="497" spans="1:7">
      <c r="A497" s="1">
        <v>60</v>
      </c>
      <c r="B497" s="2" t="s">
        <v>702</v>
      </c>
      <c r="C497" s="2" t="s">
        <v>687</v>
      </c>
      <c r="D497" s="27" t="s">
        <v>57</v>
      </c>
      <c r="E497" s="28">
        <v>273.89</v>
      </c>
      <c r="F497" s="28">
        <v>246.5</v>
      </c>
      <c r="G497" s="29">
        <v>67513.89</v>
      </c>
    </row>
    <row r="498" spans="1:7">
      <c r="A498" s="1">
        <v>61</v>
      </c>
      <c r="B498" s="2" t="s">
        <v>703</v>
      </c>
      <c r="C498" s="2" t="s">
        <v>674</v>
      </c>
      <c r="D498" s="27" t="s">
        <v>57</v>
      </c>
      <c r="E498" s="28">
        <v>61.05</v>
      </c>
      <c r="F498" s="28">
        <v>1244.12</v>
      </c>
      <c r="G498" s="29">
        <v>75953.53</v>
      </c>
    </row>
    <row r="499" spans="1:7">
      <c r="A499" s="1">
        <v>62</v>
      </c>
      <c r="B499" s="2" t="s">
        <v>704</v>
      </c>
      <c r="C499" s="2" t="s">
        <v>690</v>
      </c>
      <c r="D499" s="27" t="s">
        <v>57</v>
      </c>
      <c r="E499" s="28">
        <v>321.7</v>
      </c>
      <c r="F499" s="28">
        <v>1507.55</v>
      </c>
      <c r="G499" s="29">
        <v>484978.84</v>
      </c>
    </row>
    <row r="500" spans="1:7">
      <c r="A500" s="1">
        <v>63</v>
      </c>
      <c r="B500" s="2" t="s">
        <v>705</v>
      </c>
      <c r="C500" s="2" t="s">
        <v>706</v>
      </c>
      <c r="D500" s="27" t="s">
        <v>231</v>
      </c>
      <c r="E500" s="28">
        <v>1</v>
      </c>
      <c r="F500" s="28">
        <v>165863.87</v>
      </c>
      <c r="G500" s="29">
        <v>165863.87</v>
      </c>
    </row>
    <row r="501" spans="1:7">
      <c r="A501" s="1">
        <v>64</v>
      </c>
      <c r="B501" s="2" t="s">
        <v>707</v>
      </c>
      <c r="C501" s="2" t="s">
        <v>694</v>
      </c>
      <c r="D501" s="27" t="s">
        <v>57</v>
      </c>
      <c r="E501" s="28">
        <v>36.2</v>
      </c>
      <c r="F501" s="28">
        <v>348.38</v>
      </c>
      <c r="G501" s="29">
        <v>12611.36</v>
      </c>
    </row>
    <row r="502" ht="13" spans="1:7">
      <c r="A502" s="30" t="s">
        <v>708</v>
      </c>
      <c r="B502" s="31"/>
      <c r="C502" s="31"/>
      <c r="D502" s="31"/>
      <c r="E502" s="31"/>
      <c r="F502" s="31"/>
      <c r="G502" s="32">
        <v>1836463.11</v>
      </c>
    </row>
    <row r="503" spans="1:7">
      <c r="A503" s="24"/>
      <c r="B503" s="2"/>
      <c r="C503" s="25" t="s">
        <v>709</v>
      </c>
      <c r="D503" s="2"/>
      <c r="E503" s="2"/>
      <c r="F503" s="2"/>
      <c r="G503" s="26"/>
    </row>
    <row r="504" spans="1:7">
      <c r="A504" s="1">
        <v>65</v>
      </c>
      <c r="B504" s="2" t="s">
        <v>710</v>
      </c>
      <c r="C504" s="2" t="s">
        <v>685</v>
      </c>
      <c r="D504" s="27" t="s">
        <v>69</v>
      </c>
      <c r="E504" s="28">
        <v>46.68</v>
      </c>
      <c r="F504" s="28">
        <v>11822.94</v>
      </c>
      <c r="G504" s="29">
        <v>551894.84</v>
      </c>
    </row>
    <row r="505" spans="1:7">
      <c r="A505" s="1">
        <v>66</v>
      </c>
      <c r="B505" s="2" t="s">
        <v>711</v>
      </c>
      <c r="C505" s="2" t="s">
        <v>687</v>
      </c>
      <c r="D505" s="27" t="s">
        <v>57</v>
      </c>
      <c r="E505" s="28">
        <v>100.91</v>
      </c>
      <c r="F505" s="28">
        <v>246.5</v>
      </c>
      <c r="G505" s="29">
        <v>24874.32</v>
      </c>
    </row>
    <row r="506" spans="1:7">
      <c r="A506" s="1">
        <v>67</v>
      </c>
      <c r="B506" s="2" t="s">
        <v>712</v>
      </c>
      <c r="C506" s="2" t="s">
        <v>674</v>
      </c>
      <c r="D506" s="27" t="s">
        <v>57</v>
      </c>
      <c r="E506" s="28">
        <v>37.7</v>
      </c>
      <c r="F506" s="28">
        <v>977.6</v>
      </c>
      <c r="G506" s="29">
        <v>36855.52</v>
      </c>
    </row>
    <row r="507" spans="1:7">
      <c r="A507" s="1">
        <v>68</v>
      </c>
      <c r="B507" s="2" t="s">
        <v>713</v>
      </c>
      <c r="C507" s="2" t="s">
        <v>690</v>
      </c>
      <c r="D507" s="27" t="s">
        <v>57</v>
      </c>
      <c r="E507" s="28">
        <v>321.7</v>
      </c>
      <c r="F507" s="28">
        <v>1507.55</v>
      </c>
      <c r="G507" s="29">
        <v>484978.84</v>
      </c>
    </row>
    <row r="508" spans="1:7">
      <c r="A508" s="1">
        <v>69</v>
      </c>
      <c r="B508" s="2" t="s">
        <v>714</v>
      </c>
      <c r="C508" s="2" t="s">
        <v>715</v>
      </c>
      <c r="D508" s="27" t="s">
        <v>231</v>
      </c>
      <c r="E508" s="28">
        <v>1</v>
      </c>
      <c r="F508" s="28">
        <v>74511.61</v>
      </c>
      <c r="G508" s="29">
        <v>74511.61</v>
      </c>
    </row>
    <row r="509" spans="1:7">
      <c r="A509" s="1">
        <v>70</v>
      </c>
      <c r="B509" s="2" t="s">
        <v>716</v>
      </c>
      <c r="C509" s="2" t="s">
        <v>694</v>
      </c>
      <c r="D509" s="27" t="s">
        <v>57</v>
      </c>
      <c r="E509" s="28">
        <v>20.63</v>
      </c>
      <c r="F509" s="28">
        <v>348.38</v>
      </c>
      <c r="G509" s="29">
        <v>7187.08</v>
      </c>
    </row>
    <row r="510" ht="13" spans="1:7">
      <c r="A510" s="30" t="s">
        <v>717</v>
      </c>
      <c r="B510" s="31"/>
      <c r="C510" s="31"/>
      <c r="D510" s="31"/>
      <c r="E510" s="31"/>
      <c r="F510" s="31"/>
      <c r="G510" s="32">
        <v>1180302.21</v>
      </c>
    </row>
    <row r="511" spans="1:7">
      <c r="A511" s="24"/>
      <c r="B511" s="2"/>
      <c r="C511" s="25" t="s">
        <v>718</v>
      </c>
      <c r="D511" s="2"/>
      <c r="E511" s="2"/>
      <c r="F511" s="2"/>
      <c r="G511" s="26"/>
    </row>
    <row r="512" spans="1:7">
      <c r="A512" s="1">
        <v>71</v>
      </c>
      <c r="B512" s="2" t="s">
        <v>719</v>
      </c>
      <c r="C512" s="2" t="s">
        <v>720</v>
      </c>
      <c r="D512" s="27" t="s">
        <v>57</v>
      </c>
      <c r="E512" s="28">
        <v>101.57</v>
      </c>
      <c r="F512" s="28">
        <v>1223.8</v>
      </c>
      <c r="G512" s="29">
        <v>124301.37</v>
      </c>
    </row>
    <row r="513" spans="1:7">
      <c r="A513" s="1">
        <v>72</v>
      </c>
      <c r="B513" s="2" t="s">
        <v>721</v>
      </c>
      <c r="C513" s="2" t="s">
        <v>722</v>
      </c>
      <c r="D513" s="27" t="s">
        <v>57</v>
      </c>
      <c r="E513" s="28">
        <v>174.44</v>
      </c>
      <c r="F513" s="28">
        <v>1216.09</v>
      </c>
      <c r="G513" s="29">
        <v>212134.74</v>
      </c>
    </row>
    <row r="514" spans="1:7">
      <c r="A514" s="1">
        <v>73</v>
      </c>
      <c r="B514" s="2" t="s">
        <v>723</v>
      </c>
      <c r="C514" s="2" t="s">
        <v>724</v>
      </c>
      <c r="D514" s="27" t="s">
        <v>57</v>
      </c>
      <c r="E514" s="28">
        <v>51.36</v>
      </c>
      <c r="F514" s="28">
        <v>1305.66</v>
      </c>
      <c r="G514" s="29">
        <v>67058.7</v>
      </c>
    </row>
    <row r="515" spans="1:7">
      <c r="A515" s="1">
        <v>74</v>
      </c>
      <c r="B515" s="2" t="s">
        <v>725</v>
      </c>
      <c r="C515" s="2" t="s">
        <v>726</v>
      </c>
      <c r="D515" s="27" t="s">
        <v>57</v>
      </c>
      <c r="E515" s="28">
        <v>32</v>
      </c>
      <c r="F515" s="28">
        <v>644.53</v>
      </c>
      <c r="G515" s="29">
        <v>20624.96</v>
      </c>
    </row>
    <row r="516" spans="1:7">
      <c r="A516" s="1">
        <v>75</v>
      </c>
      <c r="B516" s="2" t="s">
        <v>727</v>
      </c>
      <c r="C516" s="2" t="s">
        <v>728</v>
      </c>
      <c r="D516" s="27" t="s">
        <v>231</v>
      </c>
      <c r="E516" s="28">
        <v>2</v>
      </c>
      <c r="F516" s="28">
        <v>2417.49</v>
      </c>
      <c r="G516" s="29">
        <v>4834.98</v>
      </c>
    </row>
    <row r="517" spans="1:7">
      <c r="A517" s="1">
        <v>76</v>
      </c>
      <c r="B517" s="2" t="s">
        <v>729</v>
      </c>
      <c r="C517" s="2" t="s">
        <v>730</v>
      </c>
      <c r="D517" s="27" t="s">
        <v>69</v>
      </c>
      <c r="E517" s="28">
        <v>52.35</v>
      </c>
      <c r="F517" s="28">
        <v>3574.27</v>
      </c>
      <c r="G517" s="29">
        <v>187113.03</v>
      </c>
    </row>
    <row r="518" ht="13" spans="1:7">
      <c r="A518" s="30" t="s">
        <v>731</v>
      </c>
      <c r="B518" s="31"/>
      <c r="C518" s="31"/>
      <c r="D518" s="31"/>
      <c r="E518" s="31"/>
      <c r="F518" s="31"/>
      <c r="G518" s="32">
        <v>616067.78</v>
      </c>
    </row>
    <row r="519" spans="1:7">
      <c r="A519" s="24"/>
      <c r="B519" s="2"/>
      <c r="C519" s="25" t="s">
        <v>732</v>
      </c>
      <c r="D519" s="2"/>
      <c r="E519" s="2"/>
      <c r="F519" s="2"/>
      <c r="G519" s="26"/>
    </row>
    <row r="520" spans="1:7">
      <c r="A520" s="1">
        <v>77</v>
      </c>
      <c r="B520" s="2" t="s">
        <v>733</v>
      </c>
      <c r="C520" s="2" t="s">
        <v>720</v>
      </c>
      <c r="D520" s="27" t="s">
        <v>57</v>
      </c>
      <c r="E520" s="28">
        <v>31.36</v>
      </c>
      <c r="F520" s="28">
        <v>1307.53</v>
      </c>
      <c r="G520" s="29">
        <v>41004.14</v>
      </c>
    </row>
    <row r="521" spans="1:7">
      <c r="A521" s="1">
        <v>78</v>
      </c>
      <c r="B521" s="2" t="s">
        <v>734</v>
      </c>
      <c r="C521" s="2" t="s">
        <v>722</v>
      </c>
      <c r="D521" s="27" t="s">
        <v>57</v>
      </c>
      <c r="E521" s="28">
        <v>36.48</v>
      </c>
      <c r="F521" s="28">
        <v>1386.78</v>
      </c>
      <c r="G521" s="29">
        <v>50589.73</v>
      </c>
    </row>
    <row r="522" spans="1:7">
      <c r="A522" s="1">
        <v>79</v>
      </c>
      <c r="B522" s="2" t="s">
        <v>735</v>
      </c>
      <c r="C522" s="2" t="s">
        <v>730</v>
      </c>
      <c r="D522" s="27" t="s">
        <v>69</v>
      </c>
      <c r="E522" s="28">
        <v>52.35</v>
      </c>
      <c r="F522" s="28">
        <v>3495.19</v>
      </c>
      <c r="G522" s="29">
        <v>182973.2</v>
      </c>
    </row>
    <row r="523" ht="13" spans="1:7">
      <c r="A523" s="30" t="s">
        <v>736</v>
      </c>
      <c r="B523" s="31"/>
      <c r="C523" s="31"/>
      <c r="D523" s="31"/>
      <c r="E523" s="31"/>
      <c r="F523" s="31"/>
      <c r="G523" s="32">
        <v>274567.07</v>
      </c>
    </row>
    <row r="524" spans="1:7">
      <c r="A524" s="24"/>
      <c r="B524" s="2"/>
      <c r="C524" s="25" t="s">
        <v>737</v>
      </c>
      <c r="D524" s="2"/>
      <c r="E524" s="2"/>
      <c r="F524" s="2"/>
      <c r="G524" s="26"/>
    </row>
    <row r="525" spans="1:7">
      <c r="A525" s="1">
        <v>80</v>
      </c>
      <c r="B525" s="2" t="s">
        <v>738</v>
      </c>
      <c r="C525" s="2" t="s">
        <v>739</v>
      </c>
      <c r="D525" s="27" t="s">
        <v>89</v>
      </c>
      <c r="E525" s="28">
        <v>36</v>
      </c>
      <c r="F525" s="28">
        <v>2947.44</v>
      </c>
      <c r="G525" s="29">
        <v>106107.84</v>
      </c>
    </row>
    <row r="526" spans="1:7">
      <c r="A526" s="1">
        <v>81</v>
      </c>
      <c r="B526" s="2" t="s">
        <v>740</v>
      </c>
      <c r="C526" s="2" t="s">
        <v>741</v>
      </c>
      <c r="D526" s="27" t="s">
        <v>89</v>
      </c>
      <c r="E526" s="28">
        <v>159</v>
      </c>
      <c r="F526" s="28">
        <v>3201.09</v>
      </c>
      <c r="G526" s="29">
        <v>508973.31</v>
      </c>
    </row>
    <row r="527" spans="1:7">
      <c r="A527" s="1">
        <v>82</v>
      </c>
      <c r="B527" s="2" t="s">
        <v>742</v>
      </c>
      <c r="C527" s="2" t="s">
        <v>743</v>
      </c>
      <c r="D527" s="27" t="s">
        <v>89</v>
      </c>
      <c r="E527" s="28">
        <v>63</v>
      </c>
      <c r="F527" s="28">
        <v>9660.34</v>
      </c>
      <c r="G527" s="29">
        <v>608601.42</v>
      </c>
    </row>
    <row r="528" spans="1:7">
      <c r="A528" s="1">
        <v>83</v>
      </c>
      <c r="B528" s="2" t="s">
        <v>744</v>
      </c>
      <c r="C528" s="2" t="s">
        <v>745</v>
      </c>
      <c r="D528" s="27" t="s">
        <v>89</v>
      </c>
      <c r="E528" s="28">
        <v>67</v>
      </c>
      <c r="F528" s="28">
        <v>9685.94</v>
      </c>
      <c r="G528" s="29">
        <v>648957.98</v>
      </c>
    </row>
    <row r="529" spans="1:7">
      <c r="A529" s="1">
        <v>84</v>
      </c>
      <c r="B529" s="2" t="s">
        <v>746</v>
      </c>
      <c r="C529" s="2" t="s">
        <v>747</v>
      </c>
      <c r="D529" s="27" t="s">
        <v>89</v>
      </c>
      <c r="E529" s="28">
        <v>53</v>
      </c>
      <c r="F529" s="28">
        <v>10262.25</v>
      </c>
      <c r="G529" s="29">
        <v>543899.25</v>
      </c>
    </row>
    <row r="530" spans="1:7">
      <c r="A530" s="1">
        <v>85</v>
      </c>
      <c r="B530" s="2" t="s">
        <v>748</v>
      </c>
      <c r="C530" s="2" t="s">
        <v>749</v>
      </c>
      <c r="D530" s="27" t="s">
        <v>89</v>
      </c>
      <c r="E530" s="28">
        <v>22</v>
      </c>
      <c r="F530" s="28">
        <v>11182.09</v>
      </c>
      <c r="G530" s="29">
        <v>246005.98</v>
      </c>
    </row>
    <row r="531" spans="1:7">
      <c r="A531" s="1">
        <v>86</v>
      </c>
      <c r="B531" s="2" t="s">
        <v>750</v>
      </c>
      <c r="C531" s="2" t="s">
        <v>751</v>
      </c>
      <c r="D531" s="27" t="s">
        <v>89</v>
      </c>
      <c r="E531" s="28">
        <v>5</v>
      </c>
      <c r="F531" s="28">
        <v>13183.63</v>
      </c>
      <c r="G531" s="29">
        <v>65918.15</v>
      </c>
    </row>
    <row r="532" spans="1:7">
      <c r="A532" s="1">
        <v>87</v>
      </c>
      <c r="B532" s="2" t="s">
        <v>752</v>
      </c>
      <c r="C532" s="2" t="s">
        <v>753</v>
      </c>
      <c r="D532" s="27" t="s">
        <v>89</v>
      </c>
      <c r="E532" s="28">
        <v>210</v>
      </c>
      <c r="F532" s="28">
        <v>10313.99</v>
      </c>
      <c r="G532" s="29">
        <v>2165937.9</v>
      </c>
    </row>
    <row r="533" spans="1:7">
      <c r="A533" s="1">
        <v>88</v>
      </c>
      <c r="B533" s="2" t="s">
        <v>754</v>
      </c>
      <c r="C533" s="2" t="s">
        <v>755</v>
      </c>
      <c r="D533" s="27" t="s">
        <v>89</v>
      </c>
      <c r="E533" s="28">
        <v>15</v>
      </c>
      <c r="F533" s="28">
        <v>10812.08</v>
      </c>
      <c r="G533" s="29">
        <v>162181.2</v>
      </c>
    </row>
    <row r="534" spans="1:7">
      <c r="A534" s="1">
        <v>89</v>
      </c>
      <c r="B534" s="2" t="s">
        <v>756</v>
      </c>
      <c r="C534" s="2" t="s">
        <v>757</v>
      </c>
      <c r="D534" s="27" t="s">
        <v>89</v>
      </c>
      <c r="E534" s="28">
        <v>54</v>
      </c>
      <c r="F534" s="28">
        <v>10828</v>
      </c>
      <c r="G534" s="29">
        <v>584712</v>
      </c>
    </row>
    <row r="535" spans="1:7">
      <c r="A535" s="1">
        <v>90</v>
      </c>
      <c r="B535" s="2" t="s">
        <v>758</v>
      </c>
      <c r="C535" s="2" t="s">
        <v>759</v>
      </c>
      <c r="D535" s="27" t="s">
        <v>89</v>
      </c>
      <c r="E535" s="28">
        <v>90</v>
      </c>
      <c r="F535" s="28">
        <v>10953.56</v>
      </c>
      <c r="G535" s="29">
        <v>985820.4</v>
      </c>
    </row>
    <row r="536" spans="1:7">
      <c r="A536" s="1">
        <v>91</v>
      </c>
      <c r="B536" s="2" t="s">
        <v>760</v>
      </c>
      <c r="C536" s="2" t="s">
        <v>761</v>
      </c>
      <c r="D536" s="27" t="s">
        <v>89</v>
      </c>
      <c r="E536" s="28">
        <v>322</v>
      </c>
      <c r="F536" s="28">
        <v>11284.16</v>
      </c>
      <c r="G536" s="29">
        <v>3633499.52</v>
      </c>
    </row>
    <row r="537" spans="1:7">
      <c r="A537" s="1">
        <v>92</v>
      </c>
      <c r="B537" s="2" t="s">
        <v>762</v>
      </c>
      <c r="C537" s="2" t="s">
        <v>763</v>
      </c>
      <c r="D537" s="27" t="s">
        <v>89</v>
      </c>
      <c r="E537" s="28">
        <v>32</v>
      </c>
      <c r="F537" s="28">
        <v>11330.75</v>
      </c>
      <c r="G537" s="29">
        <v>362584</v>
      </c>
    </row>
    <row r="538" spans="1:7">
      <c r="A538" s="1">
        <v>93</v>
      </c>
      <c r="B538" s="2" t="s">
        <v>764</v>
      </c>
      <c r="C538" s="2" t="s">
        <v>765</v>
      </c>
      <c r="D538" s="27" t="s">
        <v>89</v>
      </c>
      <c r="E538" s="28">
        <v>38</v>
      </c>
      <c r="F538" s="28">
        <v>12285.68</v>
      </c>
      <c r="G538" s="29">
        <v>466855.84</v>
      </c>
    </row>
    <row r="539" spans="1:7">
      <c r="A539" s="1">
        <v>94</v>
      </c>
      <c r="B539" s="2" t="s">
        <v>766</v>
      </c>
      <c r="C539" s="2" t="s">
        <v>767</v>
      </c>
      <c r="D539" s="27" t="s">
        <v>89</v>
      </c>
      <c r="E539" s="28">
        <v>81</v>
      </c>
      <c r="F539" s="28">
        <v>58252.49</v>
      </c>
      <c r="G539" s="29">
        <v>4718451.69</v>
      </c>
    </row>
    <row r="540" spans="1:7">
      <c r="A540" s="1">
        <v>95</v>
      </c>
      <c r="B540" s="2" t="s">
        <v>768</v>
      </c>
      <c r="C540" s="2" t="s">
        <v>769</v>
      </c>
      <c r="D540" s="27" t="s">
        <v>89</v>
      </c>
      <c r="E540" s="28">
        <v>120</v>
      </c>
      <c r="F540" s="28">
        <v>13054.73</v>
      </c>
      <c r="G540" s="29">
        <v>1566567.6</v>
      </c>
    </row>
    <row r="541" ht="24" spans="1:7">
      <c r="A541" s="1">
        <v>96</v>
      </c>
      <c r="B541" s="2" t="s">
        <v>770</v>
      </c>
      <c r="C541" s="2" t="s">
        <v>771</v>
      </c>
      <c r="D541" s="27" t="s">
        <v>89</v>
      </c>
      <c r="E541" s="28">
        <v>8</v>
      </c>
      <c r="F541" s="28">
        <v>4706.82</v>
      </c>
      <c r="G541" s="29">
        <v>37654.56</v>
      </c>
    </row>
    <row r="542" ht="24" spans="1:7">
      <c r="A542" s="1">
        <v>97</v>
      </c>
      <c r="B542" s="2" t="s">
        <v>772</v>
      </c>
      <c r="C542" s="2" t="s">
        <v>773</v>
      </c>
      <c r="D542" s="27" t="s">
        <v>89</v>
      </c>
      <c r="E542" s="28">
        <v>9</v>
      </c>
      <c r="F542" s="28">
        <v>7296.99</v>
      </c>
      <c r="G542" s="29">
        <v>65672.91</v>
      </c>
    </row>
    <row r="543" spans="1:7">
      <c r="A543" s="1">
        <v>98</v>
      </c>
      <c r="B543" s="2" t="s">
        <v>774</v>
      </c>
      <c r="C543" s="2" t="s">
        <v>775</v>
      </c>
      <c r="D543" s="27" t="s">
        <v>89</v>
      </c>
      <c r="E543" s="28">
        <v>11</v>
      </c>
      <c r="F543" s="28">
        <v>5681.29</v>
      </c>
      <c r="G543" s="29">
        <v>62494.19</v>
      </c>
    </row>
    <row r="544" spans="1:7">
      <c r="A544" s="1">
        <v>99</v>
      </c>
      <c r="B544" s="2" t="s">
        <v>776</v>
      </c>
      <c r="C544" s="2" t="s">
        <v>777</v>
      </c>
      <c r="D544" s="27" t="s">
        <v>89</v>
      </c>
      <c r="E544" s="28">
        <v>40</v>
      </c>
      <c r="F544" s="28">
        <v>6003.95</v>
      </c>
      <c r="G544" s="29">
        <v>240158</v>
      </c>
    </row>
    <row r="545" spans="1:7">
      <c r="A545" s="1">
        <v>100</v>
      </c>
      <c r="B545" s="2" t="s">
        <v>778</v>
      </c>
      <c r="C545" s="2" t="s">
        <v>779</v>
      </c>
      <c r="D545" s="27" t="s">
        <v>89</v>
      </c>
      <c r="E545" s="28">
        <v>56.4</v>
      </c>
      <c r="F545" s="28">
        <v>12330.48</v>
      </c>
      <c r="G545" s="29">
        <v>695439.07</v>
      </c>
    </row>
    <row r="546" spans="1:7">
      <c r="A546" s="1">
        <v>101</v>
      </c>
      <c r="B546" s="2" t="s">
        <v>780</v>
      </c>
      <c r="C546" s="2" t="s">
        <v>781</v>
      </c>
      <c r="D546" s="27" t="s">
        <v>89</v>
      </c>
      <c r="E546" s="28">
        <v>22</v>
      </c>
      <c r="F546" s="28">
        <v>12849.86</v>
      </c>
      <c r="G546" s="29">
        <v>282696.92</v>
      </c>
    </row>
    <row r="547" spans="1:7">
      <c r="A547" s="1">
        <v>102</v>
      </c>
      <c r="B547" s="2" t="s">
        <v>782</v>
      </c>
      <c r="C547" s="2" t="s">
        <v>783</v>
      </c>
      <c r="D547" s="27" t="s">
        <v>89</v>
      </c>
      <c r="E547" s="28">
        <v>30</v>
      </c>
      <c r="F547" s="28">
        <v>7249.6</v>
      </c>
      <c r="G547" s="29">
        <v>217488</v>
      </c>
    </row>
    <row r="548" spans="1:7">
      <c r="A548" s="1">
        <v>103</v>
      </c>
      <c r="B548" s="2" t="s">
        <v>784</v>
      </c>
      <c r="C548" s="2" t="s">
        <v>785</v>
      </c>
      <c r="D548" s="27" t="s">
        <v>89</v>
      </c>
      <c r="E548" s="28">
        <v>66</v>
      </c>
      <c r="F548" s="28">
        <v>14117.13</v>
      </c>
      <c r="G548" s="29">
        <v>931730.58</v>
      </c>
    </row>
    <row r="549" spans="1:7">
      <c r="A549" s="1">
        <v>104</v>
      </c>
      <c r="B549" s="2" t="s">
        <v>786</v>
      </c>
      <c r="C549" s="2" t="s">
        <v>787</v>
      </c>
      <c r="D549" s="27" t="s">
        <v>89</v>
      </c>
      <c r="E549" s="28">
        <v>71</v>
      </c>
      <c r="F549" s="28">
        <v>14654.21</v>
      </c>
      <c r="G549" s="29">
        <v>1040448.91</v>
      </c>
    </row>
    <row r="550" spans="1:7">
      <c r="A550" s="1">
        <v>105</v>
      </c>
      <c r="B550" s="2" t="s">
        <v>788</v>
      </c>
      <c r="C550" s="2" t="s">
        <v>789</v>
      </c>
      <c r="D550" s="27" t="s">
        <v>89</v>
      </c>
      <c r="E550" s="28">
        <v>40</v>
      </c>
      <c r="F550" s="28">
        <v>14739.12</v>
      </c>
      <c r="G550" s="29">
        <v>589564.8</v>
      </c>
    </row>
    <row r="551" spans="1:7">
      <c r="A551" s="1">
        <v>106</v>
      </c>
      <c r="B551" s="2" t="s">
        <v>790</v>
      </c>
      <c r="C551" s="2" t="s">
        <v>791</v>
      </c>
      <c r="D551" s="27" t="s">
        <v>89</v>
      </c>
      <c r="E551" s="28">
        <v>10</v>
      </c>
      <c r="F551" s="28">
        <v>59377.2</v>
      </c>
      <c r="G551" s="29">
        <v>593772</v>
      </c>
    </row>
    <row r="552" spans="1:7">
      <c r="A552" s="1">
        <v>107</v>
      </c>
      <c r="B552" s="2" t="s">
        <v>792</v>
      </c>
      <c r="C552" s="2" t="s">
        <v>793</v>
      </c>
      <c r="D552" s="27" t="s">
        <v>89</v>
      </c>
      <c r="E552" s="28">
        <v>98</v>
      </c>
      <c r="F552" s="28">
        <v>18429.92</v>
      </c>
      <c r="G552" s="29">
        <v>1806132.16</v>
      </c>
    </row>
    <row r="553" spans="1:7">
      <c r="A553" s="1">
        <v>108</v>
      </c>
      <c r="B553" s="2" t="s">
        <v>794</v>
      </c>
      <c r="C553" s="2" t="s">
        <v>795</v>
      </c>
      <c r="D553" s="27" t="s">
        <v>89</v>
      </c>
      <c r="E553" s="28">
        <v>12</v>
      </c>
      <c r="F553" s="28">
        <v>71116</v>
      </c>
      <c r="G553" s="29">
        <v>853392</v>
      </c>
    </row>
    <row r="554" spans="1:7">
      <c r="A554" s="1">
        <v>109</v>
      </c>
      <c r="B554" s="2" t="s">
        <v>796</v>
      </c>
      <c r="C554" s="2" t="s">
        <v>797</v>
      </c>
      <c r="D554" s="27" t="s">
        <v>89</v>
      </c>
      <c r="E554" s="28">
        <v>26</v>
      </c>
      <c r="F554" s="28">
        <v>21374.99</v>
      </c>
      <c r="G554" s="29">
        <v>555749.74</v>
      </c>
    </row>
    <row r="555" spans="1:7">
      <c r="A555" s="1">
        <v>110</v>
      </c>
      <c r="B555" s="2" t="s">
        <v>798</v>
      </c>
      <c r="C555" s="2" t="s">
        <v>799</v>
      </c>
      <c r="D555" s="27" t="s">
        <v>89</v>
      </c>
      <c r="E555" s="28">
        <v>17</v>
      </c>
      <c r="F555" s="28">
        <v>22217.61</v>
      </c>
      <c r="G555" s="29">
        <v>377699.37</v>
      </c>
    </row>
    <row r="556" spans="1:7">
      <c r="A556" s="1">
        <v>111</v>
      </c>
      <c r="B556" s="2" t="s">
        <v>800</v>
      </c>
      <c r="C556" s="2" t="s">
        <v>801</v>
      </c>
      <c r="D556" s="27" t="s">
        <v>89</v>
      </c>
      <c r="E556" s="28">
        <v>11</v>
      </c>
      <c r="F556" s="28">
        <v>73394.5</v>
      </c>
      <c r="G556" s="29">
        <v>807339.5</v>
      </c>
    </row>
    <row r="557" spans="1:7">
      <c r="A557" s="1">
        <v>112</v>
      </c>
      <c r="B557" s="2" t="s">
        <v>802</v>
      </c>
      <c r="C557" s="2" t="s">
        <v>803</v>
      </c>
      <c r="D557" s="27" t="s">
        <v>89</v>
      </c>
      <c r="E557" s="28">
        <v>793</v>
      </c>
      <c r="F557" s="28">
        <v>609.24</v>
      </c>
      <c r="G557" s="29">
        <v>483127.32</v>
      </c>
    </row>
    <row r="558" ht="13" spans="1:7">
      <c r="A558" s="30" t="s">
        <v>804</v>
      </c>
      <c r="B558" s="31"/>
      <c r="C558" s="31"/>
      <c r="D558" s="31"/>
      <c r="E558" s="31"/>
      <c r="F558" s="31"/>
      <c r="G558" s="32" t="s">
        <v>805</v>
      </c>
    </row>
    <row r="559" spans="1:7">
      <c r="A559" s="24"/>
      <c r="B559" s="2"/>
      <c r="C559" s="25" t="s">
        <v>806</v>
      </c>
      <c r="D559" s="2"/>
      <c r="E559" s="2"/>
      <c r="F559" s="2"/>
      <c r="G559" s="26"/>
    </row>
    <row r="560" spans="1:7">
      <c r="A560" s="1">
        <v>113</v>
      </c>
      <c r="B560" s="2" t="s">
        <v>807</v>
      </c>
      <c r="C560" s="2" t="s">
        <v>808</v>
      </c>
      <c r="D560" s="27" t="s">
        <v>89</v>
      </c>
      <c r="E560" s="28">
        <v>684</v>
      </c>
      <c r="F560" s="28">
        <v>10479.94</v>
      </c>
      <c r="G560" s="29">
        <v>7168278.96</v>
      </c>
    </row>
    <row r="561" ht="13" spans="1:7">
      <c r="A561" s="30" t="s">
        <v>809</v>
      </c>
      <c r="B561" s="31"/>
      <c r="C561" s="31"/>
      <c r="D561" s="31"/>
      <c r="E561" s="31"/>
      <c r="F561" s="31"/>
      <c r="G561" s="32">
        <v>7168278.96</v>
      </c>
    </row>
    <row r="562" spans="1:7">
      <c r="A562" s="24"/>
      <c r="B562" s="2"/>
      <c r="C562" s="25" t="s">
        <v>810</v>
      </c>
      <c r="D562" s="2"/>
      <c r="E562" s="2"/>
      <c r="F562" s="2"/>
      <c r="G562" s="26"/>
    </row>
    <row r="563" spans="1:7">
      <c r="A563" s="1">
        <v>114</v>
      </c>
      <c r="B563" s="2" t="s">
        <v>811</v>
      </c>
      <c r="C563" s="2" t="s">
        <v>812</v>
      </c>
      <c r="D563" s="27" t="s">
        <v>216</v>
      </c>
      <c r="E563" s="28">
        <v>1897.58</v>
      </c>
      <c r="F563" s="28">
        <v>2321.1</v>
      </c>
      <c r="G563" s="29">
        <v>4404472.94</v>
      </c>
    </row>
    <row r="564" ht="13" spans="1:7">
      <c r="A564" s="30" t="s">
        <v>813</v>
      </c>
      <c r="B564" s="31"/>
      <c r="C564" s="31"/>
      <c r="D564" s="31"/>
      <c r="E564" s="31"/>
      <c r="F564" s="31"/>
      <c r="G564" s="32">
        <v>4404472.94</v>
      </c>
    </row>
    <row r="565" spans="1:7">
      <c r="A565" s="24"/>
      <c r="B565" s="2"/>
      <c r="C565" s="25" t="s">
        <v>814</v>
      </c>
      <c r="D565" s="2"/>
      <c r="E565" s="2"/>
      <c r="F565" s="2"/>
      <c r="G565" s="26"/>
    </row>
    <row r="566" ht="24" spans="1:7">
      <c r="A566" s="1">
        <v>115</v>
      </c>
      <c r="B566" s="2" t="s">
        <v>815</v>
      </c>
      <c r="C566" s="2" t="s">
        <v>505</v>
      </c>
      <c r="D566" s="27" t="s">
        <v>216</v>
      </c>
      <c r="E566" s="28">
        <v>630</v>
      </c>
      <c r="F566" s="28">
        <v>76.71</v>
      </c>
      <c r="G566" s="29">
        <v>48327.3</v>
      </c>
    </row>
    <row r="567" ht="24" spans="1:7">
      <c r="A567" s="1">
        <v>116</v>
      </c>
      <c r="B567" s="2" t="s">
        <v>816</v>
      </c>
      <c r="C567" s="2" t="s">
        <v>507</v>
      </c>
      <c r="D567" s="27" t="s">
        <v>216</v>
      </c>
      <c r="E567" s="28">
        <v>630</v>
      </c>
      <c r="F567" s="28">
        <v>66.98</v>
      </c>
      <c r="G567" s="29">
        <v>42197.4</v>
      </c>
    </row>
    <row r="568" spans="1:7">
      <c r="A568" s="1">
        <v>117</v>
      </c>
      <c r="B568" s="2" t="s">
        <v>817</v>
      </c>
      <c r="C568" s="2" t="s">
        <v>509</v>
      </c>
      <c r="D568" s="27" t="s">
        <v>216</v>
      </c>
      <c r="E568" s="28">
        <v>630</v>
      </c>
      <c r="F568" s="28">
        <v>86.55</v>
      </c>
      <c r="G568" s="29">
        <v>54526.5</v>
      </c>
    </row>
    <row r="569" spans="1:7">
      <c r="A569" s="1">
        <v>118</v>
      </c>
      <c r="B569" s="2" t="s">
        <v>818</v>
      </c>
      <c r="C569" s="2" t="s">
        <v>511</v>
      </c>
      <c r="D569" s="27" t="s">
        <v>216</v>
      </c>
      <c r="E569" s="28">
        <v>630</v>
      </c>
      <c r="F569" s="28">
        <v>2.72</v>
      </c>
      <c r="G569" s="29">
        <v>1713.6</v>
      </c>
    </row>
    <row r="570" spans="1:7">
      <c r="A570" s="1">
        <v>119</v>
      </c>
      <c r="B570" s="2" t="s">
        <v>819</v>
      </c>
      <c r="C570" s="2" t="s">
        <v>513</v>
      </c>
      <c r="D570" s="27" t="s">
        <v>216</v>
      </c>
      <c r="E570" s="28">
        <v>630</v>
      </c>
      <c r="F570" s="28">
        <v>4.74</v>
      </c>
      <c r="G570" s="29">
        <v>2986.2</v>
      </c>
    </row>
    <row r="571" spans="1:7">
      <c r="A571" s="1">
        <v>120</v>
      </c>
      <c r="B571" s="2" t="s">
        <v>820</v>
      </c>
      <c r="C571" s="2" t="s">
        <v>515</v>
      </c>
      <c r="D571" s="27" t="s">
        <v>216</v>
      </c>
      <c r="E571" s="28">
        <v>1260</v>
      </c>
      <c r="F571" s="28">
        <v>8.17</v>
      </c>
      <c r="G571" s="29">
        <v>10294.2</v>
      </c>
    </row>
    <row r="572" spans="1:7">
      <c r="A572" s="1">
        <v>121</v>
      </c>
      <c r="B572" s="2" t="s">
        <v>821</v>
      </c>
      <c r="C572" s="2" t="s">
        <v>517</v>
      </c>
      <c r="D572" s="27" t="s">
        <v>216</v>
      </c>
      <c r="E572" s="28">
        <v>630</v>
      </c>
      <c r="F572" s="28">
        <v>202.33</v>
      </c>
      <c r="G572" s="29">
        <v>127467.9</v>
      </c>
    </row>
    <row r="573" spans="1:7">
      <c r="A573" s="1">
        <v>122</v>
      </c>
      <c r="B573" s="2" t="s">
        <v>822</v>
      </c>
      <c r="C573" s="2" t="s">
        <v>519</v>
      </c>
      <c r="D573" s="27" t="s">
        <v>216</v>
      </c>
      <c r="E573" s="28">
        <v>630</v>
      </c>
      <c r="F573" s="28">
        <v>36.46</v>
      </c>
      <c r="G573" s="29">
        <v>22969.8</v>
      </c>
    </row>
    <row r="574" ht="13" spans="1:7">
      <c r="A574" s="30" t="s">
        <v>823</v>
      </c>
      <c r="B574" s="31"/>
      <c r="C574" s="31"/>
      <c r="D574" s="31"/>
      <c r="E574" s="31"/>
      <c r="F574" s="31"/>
      <c r="G574" s="32">
        <v>310482.9</v>
      </c>
    </row>
    <row r="575" ht="12.75" spans="1:7">
      <c r="A575" s="33" t="s">
        <v>235</v>
      </c>
      <c r="B575" s="34"/>
      <c r="C575" s="34"/>
      <c r="D575" s="34"/>
      <c r="E575" s="34"/>
      <c r="F575" s="34"/>
      <c r="G575" s="35">
        <v>51294578.9</v>
      </c>
    </row>
    <row r="576" spans="1:7">
      <c r="A576" s="36"/>
      <c r="B576" s="36"/>
      <c r="C576" s="36"/>
      <c r="D576" s="36"/>
      <c r="E576" s="36"/>
      <c r="F576" s="36"/>
      <c r="G576" s="37"/>
    </row>
    <row r="577" spans="1:7">
      <c r="A577" s="36"/>
      <c r="B577" s="36"/>
      <c r="C577" s="36"/>
      <c r="D577" s="36"/>
      <c r="E577" s="36"/>
      <c r="F577" s="36"/>
      <c r="G577" s="37"/>
    </row>
    <row r="578" ht="27.5" spans="1:7">
      <c r="A578" s="13" t="s">
        <v>45</v>
      </c>
      <c r="B578" s="13"/>
      <c r="C578" s="13"/>
      <c r="D578" s="13"/>
      <c r="E578" s="13"/>
      <c r="F578" s="14"/>
      <c r="G578" s="14"/>
    </row>
    <row r="579" ht="13.75" spans="1:7">
      <c r="A579" s="15" t="s">
        <v>824</v>
      </c>
      <c r="B579" s="16"/>
      <c r="C579" s="16"/>
      <c r="D579" s="16"/>
      <c r="E579" s="16"/>
      <c r="F579" s="17"/>
      <c r="G579" s="17"/>
    </row>
    <row r="580" ht="13" spans="1:7">
      <c r="A580" s="18" t="s">
        <v>3</v>
      </c>
      <c r="B580" s="19" t="s">
        <v>47</v>
      </c>
      <c r="C580" s="19" t="s">
        <v>48</v>
      </c>
      <c r="D580" s="19" t="s">
        <v>49</v>
      </c>
      <c r="E580" s="19" t="s">
        <v>50</v>
      </c>
      <c r="F580" s="19" t="s">
        <v>51</v>
      </c>
      <c r="G580" s="20"/>
    </row>
    <row r="581" ht="13" spans="1:7">
      <c r="A581" s="21"/>
      <c r="B581" s="22"/>
      <c r="C581" s="22"/>
      <c r="D581" s="22"/>
      <c r="E581" s="22"/>
      <c r="F581" s="22" t="s">
        <v>52</v>
      </c>
      <c r="G581" s="23" t="s">
        <v>53</v>
      </c>
    </row>
    <row r="582" spans="1:7">
      <c r="A582" s="24"/>
      <c r="B582" s="2"/>
      <c r="C582" s="25" t="s">
        <v>825</v>
      </c>
      <c r="D582" s="2"/>
      <c r="E582" s="2"/>
      <c r="F582" s="2"/>
      <c r="G582" s="26"/>
    </row>
    <row r="583" spans="1:7">
      <c r="A583" s="1">
        <v>1</v>
      </c>
      <c r="B583" s="2" t="s">
        <v>826</v>
      </c>
      <c r="C583" s="2" t="s">
        <v>827</v>
      </c>
      <c r="D583" s="27" t="s">
        <v>231</v>
      </c>
      <c r="E583" s="28">
        <v>2</v>
      </c>
      <c r="F583" s="28">
        <v>22570.6</v>
      </c>
      <c r="G583" s="29">
        <v>45141.2</v>
      </c>
    </row>
    <row r="584" spans="1:7">
      <c r="A584" s="1">
        <v>2</v>
      </c>
      <c r="B584" s="2" t="s">
        <v>828</v>
      </c>
      <c r="C584" s="2" t="s">
        <v>829</v>
      </c>
      <c r="D584" s="27" t="s">
        <v>231</v>
      </c>
      <c r="E584" s="28">
        <v>2</v>
      </c>
      <c r="F584" s="28">
        <v>29767.5</v>
      </c>
      <c r="G584" s="29">
        <v>59535</v>
      </c>
    </row>
    <row r="585" spans="1:7">
      <c r="A585" s="1">
        <v>3</v>
      </c>
      <c r="B585" s="2" t="s">
        <v>830</v>
      </c>
      <c r="C585" s="2" t="s">
        <v>831</v>
      </c>
      <c r="D585" s="27" t="s">
        <v>231</v>
      </c>
      <c r="E585" s="28">
        <v>2</v>
      </c>
      <c r="F585" s="28">
        <v>33042.42</v>
      </c>
      <c r="G585" s="29">
        <v>66084.84</v>
      </c>
    </row>
    <row r="586" spans="1:7">
      <c r="A586" s="1">
        <v>4</v>
      </c>
      <c r="B586" s="2" t="s">
        <v>832</v>
      </c>
      <c r="C586" s="2" t="s">
        <v>833</v>
      </c>
      <c r="D586" s="27" t="s">
        <v>231</v>
      </c>
      <c r="E586" s="28">
        <v>1</v>
      </c>
      <c r="F586" s="28">
        <v>35422.85</v>
      </c>
      <c r="G586" s="29">
        <v>35422.85</v>
      </c>
    </row>
    <row r="587" spans="1:7">
      <c r="A587" s="1">
        <v>5</v>
      </c>
      <c r="B587" s="2" t="s">
        <v>834</v>
      </c>
      <c r="C587" s="2" t="s">
        <v>835</v>
      </c>
      <c r="D587" s="27" t="s">
        <v>231</v>
      </c>
      <c r="E587" s="28">
        <v>2</v>
      </c>
      <c r="F587" s="28">
        <v>41556.35</v>
      </c>
      <c r="G587" s="29">
        <v>83112.7</v>
      </c>
    </row>
    <row r="588" spans="1:7">
      <c r="A588" s="1">
        <v>6</v>
      </c>
      <c r="B588" s="2" t="s">
        <v>836</v>
      </c>
      <c r="C588" s="2" t="s">
        <v>837</v>
      </c>
      <c r="D588" s="27" t="s">
        <v>231</v>
      </c>
      <c r="E588" s="28">
        <v>1</v>
      </c>
      <c r="F588" s="28">
        <v>33882.24</v>
      </c>
      <c r="G588" s="29">
        <v>33882.24</v>
      </c>
    </row>
    <row r="589" spans="1:7">
      <c r="A589" s="1">
        <v>7</v>
      </c>
      <c r="B589" s="2" t="s">
        <v>838</v>
      </c>
      <c r="C589" s="2" t="s">
        <v>839</v>
      </c>
      <c r="D589" s="27" t="s">
        <v>231</v>
      </c>
      <c r="E589" s="28">
        <v>1</v>
      </c>
      <c r="F589" s="28">
        <v>32538.52</v>
      </c>
      <c r="G589" s="29">
        <v>32538.52</v>
      </c>
    </row>
    <row r="590" ht="13" spans="1:7">
      <c r="A590" s="30" t="s">
        <v>840</v>
      </c>
      <c r="B590" s="31"/>
      <c r="C590" s="31"/>
      <c r="D590" s="31"/>
      <c r="E590" s="31"/>
      <c r="F590" s="31"/>
      <c r="G590" s="32">
        <v>355717.35</v>
      </c>
    </row>
    <row r="591" spans="1:7">
      <c r="A591" s="24"/>
      <c r="B591" s="2"/>
      <c r="C591" s="25" t="s">
        <v>737</v>
      </c>
      <c r="D591" s="2"/>
      <c r="E591" s="2"/>
      <c r="F591" s="2"/>
      <c r="G591" s="26"/>
    </row>
    <row r="592" spans="1:7">
      <c r="A592" s="1">
        <v>8</v>
      </c>
      <c r="B592" s="2" t="s">
        <v>841</v>
      </c>
      <c r="C592" s="2" t="s">
        <v>842</v>
      </c>
      <c r="D592" s="27" t="s">
        <v>89</v>
      </c>
      <c r="E592" s="28">
        <v>18</v>
      </c>
      <c r="F592" s="28">
        <v>8545.77</v>
      </c>
      <c r="G592" s="29">
        <v>153823.86</v>
      </c>
    </row>
    <row r="593" spans="1:7">
      <c r="A593" s="1">
        <v>9</v>
      </c>
      <c r="B593" s="2" t="s">
        <v>843</v>
      </c>
      <c r="C593" s="2" t="s">
        <v>844</v>
      </c>
      <c r="D593" s="27" t="s">
        <v>89</v>
      </c>
      <c r="E593" s="28">
        <v>15</v>
      </c>
      <c r="F593" s="28">
        <v>8811.77</v>
      </c>
      <c r="G593" s="29">
        <v>132176.55</v>
      </c>
    </row>
    <row r="594" spans="1:7">
      <c r="A594" s="1">
        <v>10</v>
      </c>
      <c r="B594" s="2" t="s">
        <v>845</v>
      </c>
      <c r="C594" s="2" t="s">
        <v>846</v>
      </c>
      <c r="D594" s="27" t="s">
        <v>89</v>
      </c>
      <c r="E594" s="28">
        <v>136</v>
      </c>
      <c r="F594" s="28">
        <v>14211.51</v>
      </c>
      <c r="G594" s="29">
        <v>1932765.36</v>
      </c>
    </row>
    <row r="595" spans="1:7">
      <c r="A595" s="1">
        <v>11</v>
      </c>
      <c r="B595" s="2" t="s">
        <v>847</v>
      </c>
      <c r="C595" s="2" t="s">
        <v>848</v>
      </c>
      <c r="D595" s="27" t="s">
        <v>89</v>
      </c>
      <c r="E595" s="28">
        <v>40</v>
      </c>
      <c r="F595" s="28">
        <v>14864.16</v>
      </c>
      <c r="G595" s="29">
        <v>594566.4</v>
      </c>
    </row>
    <row r="596" spans="1:7">
      <c r="A596" s="1">
        <v>12</v>
      </c>
      <c r="B596" s="2" t="s">
        <v>849</v>
      </c>
      <c r="C596" s="2" t="s">
        <v>850</v>
      </c>
      <c r="D596" s="27" t="s">
        <v>89</v>
      </c>
      <c r="E596" s="28">
        <v>21</v>
      </c>
      <c r="F596" s="28">
        <v>69532.74</v>
      </c>
      <c r="G596" s="29">
        <v>1460187.54</v>
      </c>
    </row>
    <row r="597" ht="13" spans="1:7">
      <c r="A597" s="30" t="s">
        <v>804</v>
      </c>
      <c r="B597" s="31"/>
      <c r="C597" s="31"/>
      <c r="D597" s="31"/>
      <c r="E597" s="31"/>
      <c r="F597" s="31"/>
      <c r="G597" s="32">
        <v>4273519.71</v>
      </c>
    </row>
    <row r="598" spans="1:7">
      <c r="A598" s="24"/>
      <c r="B598" s="2"/>
      <c r="C598" s="25" t="s">
        <v>810</v>
      </c>
      <c r="D598" s="2"/>
      <c r="E598" s="2"/>
      <c r="F598" s="2"/>
      <c r="G598" s="26"/>
    </row>
    <row r="599" spans="1:7">
      <c r="A599" s="1">
        <v>13</v>
      </c>
      <c r="B599" s="2" t="s">
        <v>851</v>
      </c>
      <c r="C599" s="2" t="s">
        <v>812</v>
      </c>
      <c r="D599" s="27" t="s">
        <v>216</v>
      </c>
      <c r="E599" s="28">
        <v>1819.45</v>
      </c>
      <c r="F599" s="28">
        <v>2321.1</v>
      </c>
      <c r="G599" s="29">
        <v>4223125.4</v>
      </c>
    </row>
    <row r="600" ht="13" spans="1:7">
      <c r="A600" s="30" t="s">
        <v>813</v>
      </c>
      <c r="B600" s="31"/>
      <c r="C600" s="31"/>
      <c r="D600" s="31"/>
      <c r="E600" s="31"/>
      <c r="F600" s="31"/>
      <c r="G600" s="32">
        <v>4223125.4</v>
      </c>
    </row>
    <row r="601" ht="12.75" spans="1:7">
      <c r="A601" s="33" t="s">
        <v>235</v>
      </c>
      <c r="B601" s="34"/>
      <c r="C601" s="34"/>
      <c r="D601" s="34"/>
      <c r="E601" s="34"/>
      <c r="F601" s="34"/>
      <c r="G601" s="35">
        <v>8852362.46</v>
      </c>
    </row>
    <row r="604" ht="27.5" spans="1:7">
      <c r="A604" s="13" t="s">
        <v>45</v>
      </c>
      <c r="B604" s="13"/>
      <c r="C604" s="13"/>
      <c r="D604" s="13"/>
      <c r="E604" s="13"/>
      <c r="F604" s="14"/>
      <c r="G604" s="14"/>
    </row>
    <row r="605" ht="13.75" spans="1:7">
      <c r="A605" s="15" t="s">
        <v>852</v>
      </c>
      <c r="B605" s="16"/>
      <c r="C605" s="16"/>
      <c r="D605" s="16"/>
      <c r="E605" s="16"/>
      <c r="F605" s="17"/>
      <c r="G605" s="17"/>
    </row>
    <row r="606" ht="13" spans="1:7">
      <c r="A606" s="18" t="s">
        <v>3</v>
      </c>
      <c r="B606" s="19" t="s">
        <v>47</v>
      </c>
      <c r="C606" s="19" t="s">
        <v>48</v>
      </c>
      <c r="D606" s="19" t="s">
        <v>49</v>
      </c>
      <c r="E606" s="19" t="s">
        <v>50</v>
      </c>
      <c r="F606" s="19" t="s">
        <v>51</v>
      </c>
      <c r="G606" s="20"/>
    </row>
    <row r="607" ht="13" spans="1:7">
      <c r="A607" s="21"/>
      <c r="B607" s="22"/>
      <c r="C607" s="22"/>
      <c r="D607" s="22"/>
      <c r="E607" s="22"/>
      <c r="F607" s="22" t="s">
        <v>52</v>
      </c>
      <c r="G607" s="23" t="s">
        <v>53</v>
      </c>
    </row>
    <row r="608" spans="1:7">
      <c r="A608" s="24"/>
      <c r="B608" s="2"/>
      <c r="C608" s="25" t="s">
        <v>853</v>
      </c>
      <c r="D608" s="2"/>
      <c r="E608" s="2"/>
      <c r="F608" s="2"/>
      <c r="G608" s="26"/>
    </row>
    <row r="609" spans="1:7">
      <c r="A609" s="1">
        <v>1</v>
      </c>
      <c r="B609" s="2" t="s">
        <v>854</v>
      </c>
      <c r="C609" s="2" t="s">
        <v>855</v>
      </c>
      <c r="D609" s="27" t="s">
        <v>57</v>
      </c>
      <c r="E609" s="28">
        <v>1091</v>
      </c>
      <c r="F609" s="28">
        <v>27.06</v>
      </c>
      <c r="G609" s="29">
        <v>29522.46</v>
      </c>
    </row>
    <row r="610" spans="1:7">
      <c r="A610" s="1">
        <v>2</v>
      </c>
      <c r="B610" s="2" t="s">
        <v>856</v>
      </c>
      <c r="C610" s="2" t="s">
        <v>141</v>
      </c>
      <c r="D610" s="27" t="s">
        <v>57</v>
      </c>
      <c r="E610" s="28">
        <v>945</v>
      </c>
      <c r="F610" s="28">
        <v>106.83</v>
      </c>
      <c r="G610" s="29">
        <v>100954.35</v>
      </c>
    </row>
    <row r="611" spans="1:7">
      <c r="A611" s="1">
        <v>3</v>
      </c>
      <c r="B611" s="2" t="s">
        <v>857</v>
      </c>
      <c r="C611" s="2" t="s">
        <v>858</v>
      </c>
      <c r="D611" s="27" t="s">
        <v>89</v>
      </c>
      <c r="E611" s="28">
        <v>92.6</v>
      </c>
      <c r="F611" s="28">
        <v>1209.23</v>
      </c>
      <c r="G611" s="29">
        <v>111974.7</v>
      </c>
    </row>
    <row r="612" spans="1:7">
      <c r="A612" s="1">
        <v>4</v>
      </c>
      <c r="B612" s="2" t="s">
        <v>859</v>
      </c>
      <c r="C612" s="2" t="s">
        <v>860</v>
      </c>
      <c r="D612" s="27" t="s">
        <v>57</v>
      </c>
      <c r="E612" s="28">
        <v>60.96</v>
      </c>
      <c r="F612" s="28">
        <v>379.75</v>
      </c>
      <c r="G612" s="29">
        <v>23149.56</v>
      </c>
    </row>
    <row r="613" ht="13" spans="1:7">
      <c r="A613" s="30" t="s">
        <v>861</v>
      </c>
      <c r="B613" s="31"/>
      <c r="C613" s="31"/>
      <c r="D613" s="31"/>
      <c r="E613" s="31"/>
      <c r="F613" s="31"/>
      <c r="G613" s="32">
        <v>265601.07</v>
      </c>
    </row>
    <row r="614" spans="1:7">
      <c r="A614" s="24"/>
      <c r="B614" s="2"/>
      <c r="C614" s="25" t="s">
        <v>149</v>
      </c>
      <c r="D614" s="2"/>
      <c r="E614" s="2"/>
      <c r="F614" s="2"/>
      <c r="G614" s="26"/>
    </row>
    <row r="615" spans="1:7">
      <c r="A615" s="1">
        <v>5</v>
      </c>
      <c r="B615" s="2" t="s">
        <v>862</v>
      </c>
      <c r="C615" s="2" t="s">
        <v>863</v>
      </c>
      <c r="D615" s="27" t="s">
        <v>69</v>
      </c>
      <c r="E615" s="28">
        <v>219.428</v>
      </c>
      <c r="F615" s="28">
        <v>5081.81</v>
      </c>
      <c r="G615" s="29">
        <v>1115091.4</v>
      </c>
    </row>
    <row r="616" spans="1:7">
      <c r="A616" s="1">
        <v>6</v>
      </c>
      <c r="B616" s="2" t="s">
        <v>864</v>
      </c>
      <c r="C616" s="2" t="s">
        <v>865</v>
      </c>
      <c r="D616" s="27" t="s">
        <v>89</v>
      </c>
      <c r="E616" s="28">
        <v>570</v>
      </c>
      <c r="F616" s="28">
        <v>644.79</v>
      </c>
      <c r="G616" s="29">
        <v>367530.3</v>
      </c>
    </row>
    <row r="617" spans="1:7">
      <c r="A617" s="1">
        <v>7</v>
      </c>
      <c r="B617" s="2" t="s">
        <v>866</v>
      </c>
      <c r="C617" s="2" t="s">
        <v>91</v>
      </c>
      <c r="D617" s="27" t="s">
        <v>69</v>
      </c>
      <c r="E617" s="28">
        <v>22.42</v>
      </c>
      <c r="F617" s="28">
        <v>5912.43</v>
      </c>
      <c r="G617" s="29">
        <v>132556.68</v>
      </c>
    </row>
    <row r="618" ht="13" spans="1:7">
      <c r="A618" s="30" t="s">
        <v>153</v>
      </c>
      <c r="B618" s="31"/>
      <c r="C618" s="31"/>
      <c r="D618" s="31"/>
      <c r="E618" s="31"/>
      <c r="F618" s="31"/>
      <c r="G618" s="32">
        <v>1615178.38</v>
      </c>
    </row>
    <row r="619" spans="1:7">
      <c r="A619" s="24"/>
      <c r="B619" s="2"/>
      <c r="C619" s="25" t="s">
        <v>275</v>
      </c>
      <c r="D619" s="2"/>
      <c r="E619" s="2"/>
      <c r="F619" s="2"/>
      <c r="G619" s="26"/>
    </row>
    <row r="620" spans="1:7">
      <c r="A620" s="1">
        <v>8</v>
      </c>
      <c r="B620" s="2" t="s">
        <v>867</v>
      </c>
      <c r="C620" s="2" t="s">
        <v>868</v>
      </c>
      <c r="D620" s="27" t="s">
        <v>57</v>
      </c>
      <c r="E620" s="28">
        <v>214.62</v>
      </c>
      <c r="F620" s="28">
        <v>870.29</v>
      </c>
      <c r="G620" s="29">
        <v>186781.64</v>
      </c>
    </row>
    <row r="621" spans="1:7">
      <c r="A621" s="1">
        <v>9</v>
      </c>
      <c r="B621" s="2" t="s">
        <v>869</v>
      </c>
      <c r="C621" s="2" t="s">
        <v>870</v>
      </c>
      <c r="D621" s="27" t="s">
        <v>57</v>
      </c>
      <c r="E621" s="28">
        <v>73.76</v>
      </c>
      <c r="F621" s="28">
        <v>787.94</v>
      </c>
      <c r="G621" s="29">
        <v>58118.45</v>
      </c>
    </row>
    <row r="622" spans="1:7">
      <c r="A622" s="1">
        <v>10</v>
      </c>
      <c r="B622" s="2" t="s">
        <v>871</v>
      </c>
      <c r="C622" s="2" t="s">
        <v>872</v>
      </c>
      <c r="D622" s="27" t="s">
        <v>69</v>
      </c>
      <c r="E622" s="28">
        <v>22.825</v>
      </c>
      <c r="F622" s="28">
        <v>5212.18</v>
      </c>
      <c r="G622" s="29">
        <v>118968.01</v>
      </c>
    </row>
    <row r="623" spans="1:7">
      <c r="A623" s="1">
        <v>11</v>
      </c>
      <c r="B623" s="2" t="s">
        <v>873</v>
      </c>
      <c r="C623" s="2" t="s">
        <v>874</v>
      </c>
      <c r="D623" s="27" t="s">
        <v>89</v>
      </c>
      <c r="E623" s="28">
        <v>92.6</v>
      </c>
      <c r="F623" s="28">
        <v>376.51</v>
      </c>
      <c r="G623" s="29">
        <v>34864.83</v>
      </c>
    </row>
    <row r="624" ht="13" spans="1:7">
      <c r="A624" s="30" t="s">
        <v>292</v>
      </c>
      <c r="B624" s="31"/>
      <c r="C624" s="31"/>
      <c r="D624" s="31"/>
      <c r="E624" s="31"/>
      <c r="F624" s="31"/>
      <c r="G624" s="32">
        <v>398732.93</v>
      </c>
    </row>
    <row r="625" spans="1:7">
      <c r="A625" s="24"/>
      <c r="B625" s="2"/>
      <c r="C625" s="25" t="s">
        <v>875</v>
      </c>
      <c r="D625" s="2"/>
      <c r="E625" s="2"/>
      <c r="F625" s="2"/>
      <c r="G625" s="26"/>
    </row>
    <row r="626" spans="1:7">
      <c r="A626" s="1">
        <v>12</v>
      </c>
      <c r="B626" s="2" t="s">
        <v>876</v>
      </c>
      <c r="C626" s="2" t="s">
        <v>541</v>
      </c>
      <c r="D626" s="27" t="s">
        <v>89</v>
      </c>
      <c r="E626" s="28">
        <v>92.6</v>
      </c>
      <c r="F626" s="28">
        <v>77.09</v>
      </c>
      <c r="G626" s="29">
        <v>7138.53</v>
      </c>
    </row>
    <row r="627" spans="1:7">
      <c r="A627" s="1">
        <v>13</v>
      </c>
      <c r="B627" s="2" t="s">
        <v>877</v>
      </c>
      <c r="C627" s="2" t="s">
        <v>545</v>
      </c>
      <c r="D627" s="27" t="s">
        <v>89</v>
      </c>
      <c r="E627" s="28">
        <v>92.6</v>
      </c>
      <c r="F627" s="28">
        <v>64.66</v>
      </c>
      <c r="G627" s="29">
        <v>5987.52</v>
      </c>
    </row>
    <row r="628" spans="1:7">
      <c r="A628" s="1">
        <v>14</v>
      </c>
      <c r="B628" s="2" t="s">
        <v>878</v>
      </c>
      <c r="C628" s="2" t="s">
        <v>879</v>
      </c>
      <c r="D628" s="27" t="s">
        <v>216</v>
      </c>
      <c r="E628" s="28">
        <v>370</v>
      </c>
      <c r="F628" s="28">
        <v>168.61</v>
      </c>
      <c r="G628" s="29">
        <v>62385.7</v>
      </c>
    </row>
    <row r="629" ht="13" spans="1:7">
      <c r="A629" s="30" t="s">
        <v>880</v>
      </c>
      <c r="B629" s="31"/>
      <c r="C629" s="31"/>
      <c r="D629" s="31"/>
      <c r="E629" s="31"/>
      <c r="F629" s="31"/>
      <c r="G629" s="32">
        <v>75511.75</v>
      </c>
    </row>
    <row r="630" ht="12.75" spans="1:7">
      <c r="A630" s="33" t="s">
        <v>235</v>
      </c>
      <c r="B630" s="34"/>
      <c r="C630" s="34"/>
      <c r="D630" s="34"/>
      <c r="E630" s="34"/>
      <c r="F630" s="34"/>
      <c r="G630" s="35">
        <v>2355024.13</v>
      </c>
    </row>
    <row r="633" ht="27.5" spans="1:7">
      <c r="A633" s="13" t="s">
        <v>45</v>
      </c>
      <c r="B633" s="13"/>
      <c r="C633" s="13"/>
      <c r="D633" s="13"/>
      <c r="E633" s="13"/>
      <c r="F633" s="14"/>
      <c r="G633" s="14"/>
    </row>
    <row r="634" ht="13.75" spans="1:7">
      <c r="A634" s="15" t="s">
        <v>881</v>
      </c>
      <c r="B634" s="16"/>
      <c r="C634" s="16"/>
      <c r="D634" s="16"/>
      <c r="E634" s="16"/>
      <c r="F634" s="17"/>
      <c r="G634" s="17"/>
    </row>
    <row r="635" ht="13" spans="1:7">
      <c r="A635" s="18" t="s">
        <v>3</v>
      </c>
      <c r="B635" s="19" t="s">
        <v>47</v>
      </c>
      <c r="C635" s="19" t="s">
        <v>48</v>
      </c>
      <c r="D635" s="19" t="s">
        <v>49</v>
      </c>
      <c r="E635" s="19" t="s">
        <v>50</v>
      </c>
      <c r="F635" s="19" t="s">
        <v>51</v>
      </c>
      <c r="G635" s="20"/>
    </row>
    <row r="636" ht="13" spans="1:7">
      <c r="A636" s="21"/>
      <c r="B636" s="22"/>
      <c r="C636" s="22"/>
      <c r="D636" s="22"/>
      <c r="E636" s="22"/>
      <c r="F636" s="22" t="s">
        <v>52</v>
      </c>
      <c r="G636" s="23" t="s">
        <v>53</v>
      </c>
    </row>
    <row r="637" spans="1:7">
      <c r="A637" s="24"/>
      <c r="B637" s="2"/>
      <c r="C637" s="25" t="s">
        <v>882</v>
      </c>
      <c r="D637" s="2"/>
      <c r="E637" s="2"/>
      <c r="F637" s="2"/>
      <c r="G637" s="26"/>
    </row>
    <row r="638" spans="1:7">
      <c r="A638" s="1">
        <v>1</v>
      </c>
      <c r="B638" s="2" t="s">
        <v>883</v>
      </c>
      <c r="C638" s="2" t="s">
        <v>884</v>
      </c>
      <c r="D638" s="27" t="s">
        <v>885</v>
      </c>
      <c r="E638" s="28">
        <v>2</v>
      </c>
      <c r="F638" s="28">
        <v>137638.32</v>
      </c>
      <c r="G638" s="29">
        <v>275276.64</v>
      </c>
    </row>
    <row r="639" spans="1:7">
      <c r="A639" s="1">
        <v>2</v>
      </c>
      <c r="B639" s="2" t="s">
        <v>886</v>
      </c>
      <c r="C639" s="2" t="s">
        <v>887</v>
      </c>
      <c r="D639" s="27" t="s">
        <v>885</v>
      </c>
      <c r="E639" s="28">
        <v>1</v>
      </c>
      <c r="F639" s="28">
        <v>202855.71</v>
      </c>
      <c r="G639" s="29">
        <v>202855.71</v>
      </c>
    </row>
    <row r="640" spans="1:7">
      <c r="A640" s="1">
        <v>3</v>
      </c>
      <c r="B640" s="2" t="s">
        <v>888</v>
      </c>
      <c r="C640" s="2" t="s">
        <v>889</v>
      </c>
      <c r="D640" s="27" t="s">
        <v>885</v>
      </c>
      <c r="E640" s="28">
        <v>1</v>
      </c>
      <c r="F640" s="28">
        <v>227079.31</v>
      </c>
      <c r="G640" s="29">
        <v>227079.31</v>
      </c>
    </row>
    <row r="641" spans="1:7">
      <c r="A641" s="1">
        <v>4</v>
      </c>
      <c r="B641" s="2" t="s">
        <v>890</v>
      </c>
      <c r="C641" s="2" t="s">
        <v>891</v>
      </c>
      <c r="D641" s="27" t="s">
        <v>885</v>
      </c>
      <c r="E641" s="28">
        <v>2</v>
      </c>
      <c r="F641" s="28">
        <v>74053.77</v>
      </c>
      <c r="G641" s="29">
        <v>148107.54</v>
      </c>
    </row>
    <row r="642" spans="1:7">
      <c r="A642" s="1">
        <v>5</v>
      </c>
      <c r="B642" s="2" t="s">
        <v>892</v>
      </c>
      <c r="C642" s="2" t="s">
        <v>893</v>
      </c>
      <c r="D642" s="27" t="s">
        <v>885</v>
      </c>
      <c r="E642" s="28">
        <v>2</v>
      </c>
      <c r="F642" s="28">
        <v>345712.08</v>
      </c>
      <c r="G642" s="29">
        <v>691424.16</v>
      </c>
    </row>
    <row r="643" spans="1:7">
      <c r="A643" s="1">
        <v>6</v>
      </c>
      <c r="B643" s="2" t="s">
        <v>894</v>
      </c>
      <c r="C643" s="2" t="s">
        <v>895</v>
      </c>
      <c r="D643" s="27" t="s">
        <v>885</v>
      </c>
      <c r="E643" s="28">
        <v>1</v>
      </c>
      <c r="F643" s="28">
        <v>376457.42</v>
      </c>
      <c r="G643" s="29">
        <v>376457.42</v>
      </c>
    </row>
    <row r="644" ht="13" spans="1:7">
      <c r="A644" s="30" t="s">
        <v>896</v>
      </c>
      <c r="B644" s="31"/>
      <c r="C644" s="31"/>
      <c r="D644" s="31"/>
      <c r="E644" s="31"/>
      <c r="F644" s="31"/>
      <c r="G644" s="32">
        <v>1921200.78</v>
      </c>
    </row>
    <row r="645" ht="12.75" spans="1:7">
      <c r="A645" s="33" t="s">
        <v>235</v>
      </c>
      <c r="B645" s="34"/>
      <c r="C645" s="34"/>
      <c r="D645" s="34"/>
      <c r="E645" s="34"/>
      <c r="F645" s="34"/>
      <c r="G645" s="35">
        <v>1921200.78</v>
      </c>
    </row>
  </sheetData>
  <mergeCells count="171">
    <mergeCell ref="A1:G1"/>
    <mergeCell ref="A2:E2"/>
    <mergeCell ref="F2:G2"/>
    <mergeCell ref="F3:G3"/>
    <mergeCell ref="A21:F21"/>
    <mergeCell ref="A27:F27"/>
    <mergeCell ref="A45:F45"/>
    <mergeCell ref="A49:F49"/>
    <mergeCell ref="A76:F76"/>
    <mergeCell ref="A82:F82"/>
    <mergeCell ref="A85:F85"/>
    <mergeCell ref="A89:F89"/>
    <mergeCell ref="A90:F90"/>
    <mergeCell ref="A92:G92"/>
    <mergeCell ref="A93:E93"/>
    <mergeCell ref="F93:G93"/>
    <mergeCell ref="F94:G94"/>
    <mergeCell ref="A107:F107"/>
    <mergeCell ref="A111:F111"/>
    <mergeCell ref="A124:F124"/>
    <mergeCell ref="A128:F128"/>
    <mergeCell ref="A146:F146"/>
    <mergeCell ref="A152:F152"/>
    <mergeCell ref="A153:F153"/>
    <mergeCell ref="A156:G156"/>
    <mergeCell ref="A157:E157"/>
    <mergeCell ref="F157:G157"/>
    <mergeCell ref="F158:G158"/>
    <mergeCell ref="A172:F172"/>
    <mergeCell ref="A176:F176"/>
    <mergeCell ref="A189:F189"/>
    <mergeCell ref="A195:F195"/>
    <mergeCell ref="A215:F215"/>
    <mergeCell ref="A221:F221"/>
    <mergeCell ref="A224:F224"/>
    <mergeCell ref="A225:F225"/>
    <mergeCell ref="A226:E226"/>
    <mergeCell ref="F226:G226"/>
    <mergeCell ref="A228:G228"/>
    <mergeCell ref="A229:E229"/>
    <mergeCell ref="F229:G229"/>
    <mergeCell ref="F230:G230"/>
    <mergeCell ref="A240:F240"/>
    <mergeCell ref="A244:F244"/>
    <mergeCell ref="A257:F257"/>
    <mergeCell ref="A279:F279"/>
    <mergeCell ref="A285:F285"/>
    <mergeCell ref="A286:F286"/>
    <mergeCell ref="A289:G289"/>
    <mergeCell ref="A290:E290"/>
    <mergeCell ref="F290:G290"/>
    <mergeCell ref="F291:G291"/>
    <mergeCell ref="A300:F300"/>
    <mergeCell ref="A304:F304"/>
    <mergeCell ref="A317:F317"/>
    <mergeCell ref="A340:F340"/>
    <mergeCell ref="A346:F346"/>
    <mergeCell ref="A347:F347"/>
    <mergeCell ref="A350:G350"/>
    <mergeCell ref="A351:E351"/>
    <mergeCell ref="F351:G351"/>
    <mergeCell ref="F352:G352"/>
    <mergeCell ref="A357:F357"/>
    <mergeCell ref="A358:F358"/>
    <mergeCell ref="A361:G361"/>
    <mergeCell ref="A362:E362"/>
    <mergeCell ref="F362:G362"/>
    <mergeCell ref="F363:G363"/>
    <mergeCell ref="A372:F372"/>
    <mergeCell ref="A383:F383"/>
    <mergeCell ref="A392:F392"/>
    <mergeCell ref="A403:F403"/>
    <mergeCell ref="A412:F412"/>
    <mergeCell ref="A416:F416"/>
    <mergeCell ref="A420:F420"/>
    <mergeCell ref="A421:F421"/>
    <mergeCell ref="A425:G425"/>
    <mergeCell ref="A426:E426"/>
    <mergeCell ref="F426:G426"/>
    <mergeCell ref="F427:G427"/>
    <mergeCell ref="A472:F472"/>
    <mergeCell ref="A483:F483"/>
    <mergeCell ref="A491:F491"/>
    <mergeCell ref="A494:F494"/>
    <mergeCell ref="A502:F502"/>
    <mergeCell ref="A510:F510"/>
    <mergeCell ref="A518:F518"/>
    <mergeCell ref="A523:F523"/>
    <mergeCell ref="A558:F558"/>
    <mergeCell ref="A561:F561"/>
    <mergeCell ref="A564:F564"/>
    <mergeCell ref="A574:F574"/>
    <mergeCell ref="A575:F575"/>
    <mergeCell ref="A578:G578"/>
    <mergeCell ref="A579:E579"/>
    <mergeCell ref="F579:G579"/>
    <mergeCell ref="F580:G580"/>
    <mergeCell ref="A590:F590"/>
    <mergeCell ref="A597:F597"/>
    <mergeCell ref="A600:F600"/>
    <mergeCell ref="A601:F601"/>
    <mergeCell ref="A604:G604"/>
    <mergeCell ref="A605:E605"/>
    <mergeCell ref="F605:G605"/>
    <mergeCell ref="F606:G606"/>
    <mergeCell ref="A613:F613"/>
    <mergeCell ref="A618:F618"/>
    <mergeCell ref="A624:F624"/>
    <mergeCell ref="A629:F629"/>
    <mergeCell ref="A630:F630"/>
    <mergeCell ref="A633:G633"/>
    <mergeCell ref="A634:E634"/>
    <mergeCell ref="F634:G634"/>
    <mergeCell ref="F635:G635"/>
    <mergeCell ref="A644:F644"/>
    <mergeCell ref="A645:F645"/>
    <mergeCell ref="A3:A4"/>
    <mergeCell ref="A94:A95"/>
    <mergeCell ref="A158:A159"/>
    <mergeCell ref="A230:A231"/>
    <mergeCell ref="A291:A292"/>
    <mergeCell ref="A352:A353"/>
    <mergeCell ref="A363:A364"/>
    <mergeCell ref="A427:A428"/>
    <mergeCell ref="A580:A581"/>
    <mergeCell ref="A606:A607"/>
    <mergeCell ref="A635:A636"/>
    <mergeCell ref="B3:B4"/>
    <mergeCell ref="B94:B95"/>
    <mergeCell ref="B158:B159"/>
    <mergeCell ref="B230:B231"/>
    <mergeCell ref="B291:B292"/>
    <mergeCell ref="B352:B353"/>
    <mergeCell ref="B363:B364"/>
    <mergeCell ref="B427:B428"/>
    <mergeCell ref="B580:B581"/>
    <mergeCell ref="B606:B607"/>
    <mergeCell ref="B635:B636"/>
    <mergeCell ref="C3:C4"/>
    <mergeCell ref="C94:C95"/>
    <mergeCell ref="C158:C159"/>
    <mergeCell ref="C230:C231"/>
    <mergeCell ref="C291:C292"/>
    <mergeCell ref="C352:C353"/>
    <mergeCell ref="C363:C364"/>
    <mergeCell ref="C427:C428"/>
    <mergeCell ref="C580:C581"/>
    <mergeCell ref="C606:C607"/>
    <mergeCell ref="C635:C636"/>
    <mergeCell ref="D3:D4"/>
    <mergeCell ref="D94:D95"/>
    <mergeCell ref="D158:D159"/>
    <mergeCell ref="D230:D231"/>
    <mergeCell ref="D291:D292"/>
    <mergeCell ref="D352:D353"/>
    <mergeCell ref="D363:D364"/>
    <mergeCell ref="D427:D428"/>
    <mergeCell ref="D580:D581"/>
    <mergeCell ref="D606:D607"/>
    <mergeCell ref="D635:D636"/>
    <mergeCell ref="E3:E4"/>
    <mergeCell ref="E94:E95"/>
    <mergeCell ref="E158:E159"/>
    <mergeCell ref="E230:E231"/>
    <mergeCell ref="E291:E292"/>
    <mergeCell ref="E352:E353"/>
    <mergeCell ref="E363:E364"/>
    <mergeCell ref="E427:E428"/>
    <mergeCell ref="E580:E581"/>
    <mergeCell ref="E606:E607"/>
    <mergeCell ref="E635:E636"/>
  </mergeCells>
  <printOptions horizontalCentered="1"/>
  <pageMargins left="0.397666666666667" right="0.0018333333333333" top="0.59375" bottom="0" header="0.59375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77"/>
  <sheetViews>
    <sheetView topLeftCell="A55" workbookViewId="0">
      <selection activeCell="N70" sqref="N70"/>
    </sheetView>
  </sheetViews>
  <sheetFormatPr defaultColWidth="9" defaultRowHeight="12.5" outlineLevelCol="7"/>
  <cols>
    <col min="1" max="1" width="3.88888888888889" style="5" customWidth="1"/>
    <col min="2" max="2" width="12.5555555555556" style="5" customWidth="1"/>
    <col min="3" max="3" width="21" style="5" customWidth="1"/>
    <col min="4" max="4" width="38.4444444444444" style="5" customWidth="1"/>
    <col min="5" max="5" width="7.88888888888889" style="5" customWidth="1"/>
    <col min="6" max="6" width="12.2222222222222" style="5" customWidth="1"/>
    <col min="7" max="8" width="12.5555555555556" style="5" customWidth="1"/>
    <col min="9" max="16384" width="8.88888888888889" style="5"/>
  </cols>
  <sheetData>
    <row r="1" ht="18" customHeight="1" spans="1:8">
      <c r="B1" s="6" t="s">
        <v>3</v>
      </c>
      <c r="C1" s="6" t="s">
        <v>897</v>
      </c>
      <c r="D1" s="6" t="s">
        <v>898</v>
      </c>
      <c r="E1" s="6" t="s">
        <v>899</v>
      </c>
      <c r="F1" s="6" t="s">
        <v>50</v>
      </c>
      <c r="G1" s="6" t="s">
        <v>900</v>
      </c>
      <c r="H1" s="6" t="s">
        <v>901</v>
      </c>
    </row>
    <row r="2" ht="16.5" customHeight="1" spans="1:8">
      <c r="A2" s="7" t="s">
        <v>902</v>
      </c>
      <c r="B2" s="8" t="s">
        <v>902</v>
      </c>
      <c r="C2" s="8" t="s">
        <v>902</v>
      </c>
      <c r="D2" s="8" t="s">
        <v>903</v>
      </c>
      <c r="E2" s="8" t="s">
        <v>904</v>
      </c>
      <c r="F2" s="9">
        <v>213590000</v>
      </c>
      <c r="G2" s="8">
        <v>1</v>
      </c>
      <c r="H2" s="9">
        <v>213590000</v>
      </c>
    </row>
    <row r="3" ht="16.5" customHeight="1" outlineLevel="1" spans="1:8">
      <c r="A3" s="10" t="s">
        <v>902</v>
      </c>
      <c r="B3" s="11" t="s">
        <v>902</v>
      </c>
      <c r="C3" s="11" t="s">
        <v>902</v>
      </c>
      <c r="D3" s="11" t="s">
        <v>905</v>
      </c>
      <c r="E3" s="8" t="s">
        <v>904</v>
      </c>
      <c r="F3" s="12">
        <v>213590000</v>
      </c>
      <c r="G3" s="11">
        <v>1</v>
      </c>
      <c r="H3" s="12">
        <v>213590000</v>
      </c>
    </row>
    <row r="4" ht="16.5" customHeight="1" outlineLevel="2" spans="1:8">
      <c r="A4" s="10" t="s">
        <v>902</v>
      </c>
      <c r="B4" s="11" t="s">
        <v>8</v>
      </c>
      <c r="C4" s="11" t="s">
        <v>902</v>
      </c>
      <c r="D4" s="11" t="s">
        <v>906</v>
      </c>
      <c r="E4" s="8" t="s">
        <v>904</v>
      </c>
      <c r="F4" s="12">
        <v>62740000</v>
      </c>
      <c r="G4" s="12" t="s">
        <v>907</v>
      </c>
      <c r="H4" s="12">
        <v>62740000</v>
      </c>
    </row>
    <row r="5" ht="16.5" customHeight="1" outlineLevel="3" spans="1:8">
      <c r="A5" s="10" t="s">
        <v>902</v>
      </c>
      <c r="B5" s="11" t="s">
        <v>10</v>
      </c>
      <c r="C5" s="11" t="s">
        <v>902</v>
      </c>
      <c r="D5" s="11" t="s">
        <v>908</v>
      </c>
      <c r="E5" s="8" t="s">
        <v>904</v>
      </c>
      <c r="F5" s="12">
        <v>3000000</v>
      </c>
      <c r="G5" s="12" t="s">
        <v>907</v>
      </c>
      <c r="H5" s="12">
        <v>3000000</v>
      </c>
    </row>
    <row r="6" ht="55.5" customHeight="1" outlineLevel="4" spans="1:8">
      <c r="A6" s="10" t="s">
        <v>902</v>
      </c>
      <c r="B6" s="11" t="s">
        <v>909</v>
      </c>
      <c r="C6" s="11" t="s">
        <v>910</v>
      </c>
      <c r="D6" s="11" t="s">
        <v>911</v>
      </c>
      <c r="E6" s="8" t="s">
        <v>904</v>
      </c>
      <c r="F6" s="12">
        <v>1000000</v>
      </c>
      <c r="G6" s="12" t="s">
        <v>907</v>
      </c>
      <c r="H6" s="12">
        <v>1000000</v>
      </c>
    </row>
    <row r="7" ht="55.5" customHeight="1" outlineLevel="4" spans="1:8">
      <c r="A7" s="10" t="s">
        <v>902</v>
      </c>
      <c r="B7" s="11" t="s">
        <v>912</v>
      </c>
      <c r="C7" s="11" t="s">
        <v>913</v>
      </c>
      <c r="D7" s="11" t="s">
        <v>914</v>
      </c>
      <c r="E7" s="8" t="s">
        <v>904</v>
      </c>
      <c r="F7" s="12">
        <v>1000000</v>
      </c>
      <c r="G7" s="12" t="s">
        <v>907</v>
      </c>
      <c r="H7" s="12">
        <v>1000000</v>
      </c>
    </row>
    <row r="8" ht="55.5" customHeight="1" outlineLevel="4" spans="1:8">
      <c r="A8" s="10" t="s">
        <v>902</v>
      </c>
      <c r="B8" s="11" t="s">
        <v>915</v>
      </c>
      <c r="C8" s="11" t="s">
        <v>916</v>
      </c>
      <c r="D8" s="11" t="s">
        <v>917</v>
      </c>
      <c r="E8" s="8" t="s">
        <v>904</v>
      </c>
      <c r="F8" s="12">
        <v>1000000</v>
      </c>
      <c r="G8" s="12" t="s">
        <v>907</v>
      </c>
      <c r="H8" s="12">
        <v>1000000</v>
      </c>
    </row>
    <row r="9" ht="16.5" customHeight="1" outlineLevel="3" spans="1:8">
      <c r="A9" s="10" t="s">
        <v>902</v>
      </c>
      <c r="B9" s="11" t="s">
        <v>12</v>
      </c>
      <c r="C9" s="11" t="s">
        <v>902</v>
      </c>
      <c r="D9" s="11" t="s">
        <v>918</v>
      </c>
      <c r="E9" s="8" t="s">
        <v>904</v>
      </c>
      <c r="F9" s="12">
        <v>7400000</v>
      </c>
      <c r="G9" s="12" t="s">
        <v>907</v>
      </c>
      <c r="H9" s="12">
        <v>7400000</v>
      </c>
    </row>
    <row r="10" ht="55.5" customHeight="1" outlineLevel="4" spans="1:8">
      <c r="A10" s="10" t="s">
        <v>902</v>
      </c>
      <c r="B10" s="11" t="s">
        <v>919</v>
      </c>
      <c r="C10" s="11" t="s">
        <v>920</v>
      </c>
      <c r="D10" s="11" t="s">
        <v>921</v>
      </c>
      <c r="E10" s="8" t="s">
        <v>904</v>
      </c>
      <c r="F10" s="12">
        <v>500000</v>
      </c>
      <c r="G10" s="12" t="s">
        <v>907</v>
      </c>
      <c r="H10" s="12">
        <v>500000</v>
      </c>
    </row>
    <row r="11" ht="55.5" customHeight="1" outlineLevel="4" spans="1:8">
      <c r="A11" s="10" t="s">
        <v>902</v>
      </c>
      <c r="B11" s="11" t="s">
        <v>922</v>
      </c>
      <c r="C11" s="11" t="s">
        <v>923</v>
      </c>
      <c r="D11" s="11" t="s">
        <v>924</v>
      </c>
      <c r="E11" s="8" t="s">
        <v>904</v>
      </c>
      <c r="F11" s="12">
        <v>5000000</v>
      </c>
      <c r="G11" s="12" t="s">
        <v>907</v>
      </c>
      <c r="H11" s="12">
        <v>5000000</v>
      </c>
    </row>
    <row r="12" ht="55.5" customHeight="1" outlineLevel="4" spans="1:8">
      <c r="A12" s="10" t="s">
        <v>902</v>
      </c>
      <c r="B12" s="11" t="s">
        <v>925</v>
      </c>
      <c r="C12" s="11" t="s">
        <v>926</v>
      </c>
      <c r="D12" s="11" t="s">
        <v>927</v>
      </c>
      <c r="E12" s="8" t="s">
        <v>904</v>
      </c>
      <c r="F12" s="12">
        <v>400000</v>
      </c>
      <c r="G12" s="12" t="s">
        <v>907</v>
      </c>
      <c r="H12" s="12">
        <v>400000</v>
      </c>
    </row>
    <row r="13" ht="55.5" customHeight="1" outlineLevel="4" spans="1:8">
      <c r="A13" s="10" t="s">
        <v>902</v>
      </c>
      <c r="B13" s="11" t="s">
        <v>928</v>
      </c>
      <c r="C13" s="11" t="s">
        <v>929</v>
      </c>
      <c r="D13" s="11" t="s">
        <v>930</v>
      </c>
      <c r="E13" s="8" t="s">
        <v>904</v>
      </c>
      <c r="F13" s="12">
        <v>300000</v>
      </c>
      <c r="G13" s="12" t="s">
        <v>907</v>
      </c>
      <c r="H13" s="12">
        <v>300000</v>
      </c>
    </row>
    <row r="14" ht="55.5" customHeight="1" outlineLevel="4" spans="1:8">
      <c r="A14" s="10" t="s">
        <v>902</v>
      </c>
      <c r="B14" s="11" t="s">
        <v>931</v>
      </c>
      <c r="C14" s="11" t="s">
        <v>932</v>
      </c>
      <c r="D14" s="11" t="s">
        <v>933</v>
      </c>
      <c r="E14" s="8" t="s">
        <v>904</v>
      </c>
      <c r="F14" s="12">
        <v>300000</v>
      </c>
      <c r="G14" s="12" t="s">
        <v>907</v>
      </c>
      <c r="H14" s="12">
        <v>300000</v>
      </c>
    </row>
    <row r="15" ht="55.5" customHeight="1" outlineLevel="4" spans="1:8">
      <c r="A15" s="10" t="s">
        <v>902</v>
      </c>
      <c r="B15" s="11" t="s">
        <v>934</v>
      </c>
      <c r="C15" s="11" t="s">
        <v>935</v>
      </c>
      <c r="D15" s="11" t="s">
        <v>936</v>
      </c>
      <c r="E15" s="8" t="s">
        <v>904</v>
      </c>
      <c r="F15" s="12">
        <v>200000</v>
      </c>
      <c r="G15" s="12" t="s">
        <v>907</v>
      </c>
      <c r="H15" s="12">
        <v>200000</v>
      </c>
    </row>
    <row r="16" ht="55.5" customHeight="1" outlineLevel="4" spans="1:8">
      <c r="A16" s="10" t="s">
        <v>902</v>
      </c>
      <c r="B16" s="11" t="s">
        <v>937</v>
      </c>
      <c r="C16" s="11" t="s">
        <v>938</v>
      </c>
      <c r="D16" s="11" t="s">
        <v>939</v>
      </c>
      <c r="E16" s="8" t="s">
        <v>904</v>
      </c>
      <c r="F16" s="12">
        <v>400000</v>
      </c>
      <c r="G16" s="12" t="s">
        <v>907</v>
      </c>
      <c r="H16" s="12">
        <v>400000</v>
      </c>
    </row>
    <row r="17" ht="55.5" customHeight="1" outlineLevel="4" spans="1:8">
      <c r="A17" s="10" t="s">
        <v>902</v>
      </c>
      <c r="B17" s="11" t="s">
        <v>940</v>
      </c>
      <c r="C17" s="11" t="s">
        <v>941</v>
      </c>
      <c r="D17" s="11" t="s">
        <v>942</v>
      </c>
      <c r="E17" s="8" t="s">
        <v>904</v>
      </c>
      <c r="F17" s="12">
        <v>300000</v>
      </c>
      <c r="G17" s="12" t="s">
        <v>907</v>
      </c>
      <c r="H17" s="12">
        <v>300000</v>
      </c>
    </row>
    <row r="18" ht="16.5" customHeight="1" outlineLevel="3" spans="1:8">
      <c r="A18" s="10" t="s">
        <v>902</v>
      </c>
      <c r="B18" s="11" t="s">
        <v>14</v>
      </c>
      <c r="C18" s="11" t="s">
        <v>902</v>
      </c>
      <c r="D18" s="11" t="s">
        <v>943</v>
      </c>
      <c r="E18" s="8" t="s">
        <v>904</v>
      </c>
      <c r="F18" s="12">
        <v>50940000</v>
      </c>
      <c r="G18" s="12" t="s">
        <v>907</v>
      </c>
      <c r="H18" s="12">
        <v>50940000</v>
      </c>
    </row>
    <row r="19" ht="55.5" customHeight="1" outlineLevel="4" spans="1:8">
      <c r="A19" s="10" t="s">
        <v>902</v>
      </c>
      <c r="B19" s="11" t="s">
        <v>944</v>
      </c>
      <c r="C19" s="11" t="s">
        <v>945</v>
      </c>
      <c r="D19" s="11" t="s">
        <v>946</v>
      </c>
      <c r="E19" s="8" t="s">
        <v>904</v>
      </c>
      <c r="F19" s="12">
        <v>28180000</v>
      </c>
      <c r="G19" s="12" t="s">
        <v>907</v>
      </c>
      <c r="H19" s="12">
        <v>28180000</v>
      </c>
    </row>
    <row r="20" ht="55.5" customHeight="1" outlineLevel="4" spans="1:8">
      <c r="A20" s="10" t="s">
        <v>902</v>
      </c>
      <c r="B20" s="11" t="s">
        <v>947</v>
      </c>
      <c r="C20" s="11" t="s">
        <v>948</v>
      </c>
      <c r="D20" s="11" t="s">
        <v>949</v>
      </c>
      <c r="E20" s="8" t="s">
        <v>904</v>
      </c>
      <c r="F20" s="12">
        <v>12950000</v>
      </c>
      <c r="G20" s="12" t="s">
        <v>907</v>
      </c>
      <c r="H20" s="12">
        <v>12950000</v>
      </c>
    </row>
    <row r="21" ht="55.5" customHeight="1" outlineLevel="4" spans="1:8">
      <c r="A21" s="10" t="s">
        <v>902</v>
      </c>
      <c r="B21" s="11" t="s">
        <v>950</v>
      </c>
      <c r="C21" s="11" t="s">
        <v>951</v>
      </c>
      <c r="D21" s="11" t="s">
        <v>952</v>
      </c>
      <c r="E21" s="8" t="s">
        <v>904</v>
      </c>
      <c r="F21" s="12">
        <v>500000</v>
      </c>
      <c r="G21" s="12" t="s">
        <v>907</v>
      </c>
      <c r="H21" s="12">
        <v>500000</v>
      </c>
    </row>
    <row r="22" ht="55.5" customHeight="1" outlineLevel="4" spans="1:8">
      <c r="A22" s="10" t="s">
        <v>902</v>
      </c>
      <c r="B22" s="11" t="s">
        <v>953</v>
      </c>
      <c r="C22" s="11" t="s">
        <v>954</v>
      </c>
      <c r="D22" s="11" t="s">
        <v>955</v>
      </c>
      <c r="E22" s="8" t="s">
        <v>904</v>
      </c>
      <c r="F22" s="12">
        <v>300000</v>
      </c>
      <c r="G22" s="12" t="s">
        <v>907</v>
      </c>
      <c r="H22" s="12">
        <v>300000</v>
      </c>
    </row>
    <row r="23" ht="55.5" customHeight="1" outlineLevel="4" spans="1:8">
      <c r="A23" s="10" t="s">
        <v>902</v>
      </c>
      <c r="B23" s="11" t="s">
        <v>956</v>
      </c>
      <c r="C23" s="11" t="s">
        <v>957</v>
      </c>
      <c r="D23" s="11" t="s">
        <v>958</v>
      </c>
      <c r="E23" s="8" t="s">
        <v>904</v>
      </c>
      <c r="F23" s="12">
        <v>60000</v>
      </c>
      <c r="G23" s="12" t="s">
        <v>907</v>
      </c>
      <c r="H23" s="12">
        <v>60000</v>
      </c>
    </row>
    <row r="24" ht="55.5" customHeight="1" outlineLevel="4" spans="1:8">
      <c r="A24" s="10" t="s">
        <v>902</v>
      </c>
      <c r="B24" s="11" t="s">
        <v>959</v>
      </c>
      <c r="C24" s="11" t="s">
        <v>960</v>
      </c>
      <c r="D24" s="11" t="s">
        <v>961</v>
      </c>
      <c r="E24" s="8" t="s">
        <v>904</v>
      </c>
      <c r="F24" s="12">
        <v>1000000</v>
      </c>
      <c r="G24" s="12" t="s">
        <v>907</v>
      </c>
      <c r="H24" s="12">
        <v>1000000</v>
      </c>
    </row>
    <row r="25" ht="55.5" customHeight="1" outlineLevel="4" spans="1:8">
      <c r="A25" s="10" t="s">
        <v>902</v>
      </c>
      <c r="B25" s="11" t="s">
        <v>962</v>
      </c>
      <c r="C25" s="11" t="s">
        <v>963</v>
      </c>
      <c r="D25" s="11" t="s">
        <v>964</v>
      </c>
      <c r="E25" s="8" t="s">
        <v>904</v>
      </c>
      <c r="F25" s="12">
        <v>200000</v>
      </c>
      <c r="G25" s="12" t="s">
        <v>907</v>
      </c>
      <c r="H25" s="12">
        <v>200000</v>
      </c>
    </row>
    <row r="26" ht="55.5" customHeight="1" outlineLevel="4" spans="1:8">
      <c r="A26" s="10" t="s">
        <v>902</v>
      </c>
      <c r="B26" s="11" t="s">
        <v>965</v>
      </c>
      <c r="C26" s="11" t="s">
        <v>966</v>
      </c>
      <c r="D26" s="11" t="s">
        <v>967</v>
      </c>
      <c r="E26" s="8" t="s">
        <v>904</v>
      </c>
      <c r="F26" s="12">
        <v>150000</v>
      </c>
      <c r="G26" s="12" t="s">
        <v>907</v>
      </c>
      <c r="H26" s="12">
        <v>150000</v>
      </c>
    </row>
    <row r="27" ht="55.5" customHeight="1" outlineLevel="4" spans="1:8">
      <c r="A27" s="10" t="s">
        <v>902</v>
      </c>
      <c r="B27" s="11" t="s">
        <v>968</v>
      </c>
      <c r="C27" s="11" t="s">
        <v>969</v>
      </c>
      <c r="D27" s="11" t="s">
        <v>970</v>
      </c>
      <c r="E27" s="8" t="s">
        <v>904</v>
      </c>
      <c r="F27" s="12">
        <v>200000</v>
      </c>
      <c r="G27" s="12" t="s">
        <v>907</v>
      </c>
      <c r="H27" s="12">
        <v>200000</v>
      </c>
    </row>
    <row r="28" ht="66" customHeight="1" outlineLevel="4" spans="1:8">
      <c r="A28" s="10" t="s">
        <v>902</v>
      </c>
      <c r="B28" s="11" t="s">
        <v>971</v>
      </c>
      <c r="C28" s="11" t="s">
        <v>972</v>
      </c>
      <c r="D28" s="11" t="s">
        <v>973</v>
      </c>
      <c r="E28" s="8" t="s">
        <v>904</v>
      </c>
      <c r="F28" s="12">
        <v>100000</v>
      </c>
      <c r="G28" s="12" t="s">
        <v>907</v>
      </c>
      <c r="H28" s="12">
        <v>100000</v>
      </c>
    </row>
    <row r="29" ht="66" customHeight="1" outlineLevel="4" spans="1:8">
      <c r="A29" s="10" t="s">
        <v>902</v>
      </c>
      <c r="B29" s="11" t="s">
        <v>974</v>
      </c>
      <c r="C29" s="11" t="s">
        <v>975</v>
      </c>
      <c r="D29" s="11" t="s">
        <v>976</v>
      </c>
      <c r="E29" s="8" t="s">
        <v>904</v>
      </c>
      <c r="F29" s="12">
        <v>300000</v>
      </c>
      <c r="G29" s="12" t="s">
        <v>907</v>
      </c>
      <c r="H29" s="12">
        <v>300000</v>
      </c>
    </row>
    <row r="30" ht="66" customHeight="1" outlineLevel="4" spans="1:8">
      <c r="A30" s="10" t="s">
        <v>902</v>
      </c>
      <c r="B30" s="11" t="s">
        <v>977</v>
      </c>
      <c r="C30" s="11" t="s">
        <v>978</v>
      </c>
      <c r="D30" s="11" t="s">
        <v>979</v>
      </c>
      <c r="E30" s="8" t="s">
        <v>904</v>
      </c>
      <c r="F30" s="12">
        <v>500000</v>
      </c>
      <c r="G30" s="12" t="s">
        <v>907</v>
      </c>
      <c r="H30" s="12">
        <v>500000</v>
      </c>
    </row>
    <row r="31" ht="66" customHeight="1" outlineLevel="4" spans="1:8">
      <c r="A31" s="10" t="s">
        <v>902</v>
      </c>
      <c r="B31" s="11" t="s">
        <v>980</v>
      </c>
      <c r="C31" s="11" t="s">
        <v>981</v>
      </c>
      <c r="D31" s="11" t="s">
        <v>982</v>
      </c>
      <c r="E31" s="8" t="s">
        <v>904</v>
      </c>
      <c r="F31" s="12">
        <v>500000</v>
      </c>
      <c r="G31" s="12" t="s">
        <v>907</v>
      </c>
      <c r="H31" s="12">
        <v>500000</v>
      </c>
    </row>
    <row r="32" ht="66" customHeight="1" outlineLevel="4" spans="1:8">
      <c r="A32" s="10" t="s">
        <v>902</v>
      </c>
      <c r="B32" s="11" t="s">
        <v>983</v>
      </c>
      <c r="C32" s="11" t="s">
        <v>984</v>
      </c>
      <c r="D32" s="11" t="s">
        <v>985</v>
      </c>
      <c r="E32" s="8" t="s">
        <v>904</v>
      </c>
      <c r="F32" s="12">
        <v>3000000</v>
      </c>
      <c r="G32" s="12" t="s">
        <v>907</v>
      </c>
      <c r="H32" s="12">
        <v>3000000</v>
      </c>
    </row>
    <row r="33" ht="66" customHeight="1" outlineLevel="4" spans="1:8">
      <c r="A33" s="10" t="s">
        <v>902</v>
      </c>
      <c r="B33" s="11" t="s">
        <v>986</v>
      </c>
      <c r="C33" s="11" t="s">
        <v>987</v>
      </c>
      <c r="D33" s="11" t="s">
        <v>988</v>
      </c>
      <c r="E33" s="8" t="s">
        <v>904</v>
      </c>
      <c r="F33" s="12">
        <v>3000000</v>
      </c>
      <c r="G33" s="12" t="s">
        <v>907</v>
      </c>
      <c r="H33" s="12">
        <v>3000000</v>
      </c>
    </row>
    <row r="34" ht="16.5" customHeight="1" outlineLevel="3" spans="1:8">
      <c r="A34" s="10" t="s">
        <v>902</v>
      </c>
      <c r="B34" s="11" t="s">
        <v>16</v>
      </c>
      <c r="C34" s="11" t="s">
        <v>902</v>
      </c>
      <c r="D34" s="11" t="s">
        <v>989</v>
      </c>
      <c r="E34" s="8" t="s">
        <v>904</v>
      </c>
      <c r="F34" s="12">
        <v>1400000</v>
      </c>
      <c r="G34" s="12" t="s">
        <v>907</v>
      </c>
      <c r="H34" s="12">
        <v>1400000</v>
      </c>
    </row>
    <row r="35" ht="55.5" customHeight="1" outlineLevel="4" spans="1:8">
      <c r="A35" s="10" t="s">
        <v>902</v>
      </c>
      <c r="B35" s="11" t="s">
        <v>990</v>
      </c>
      <c r="C35" s="11" t="s">
        <v>991</v>
      </c>
      <c r="D35" s="11" t="s">
        <v>992</v>
      </c>
      <c r="E35" s="8" t="s">
        <v>904</v>
      </c>
      <c r="F35" s="12">
        <v>50000</v>
      </c>
      <c r="G35" s="12" t="s">
        <v>907</v>
      </c>
      <c r="H35" s="12">
        <v>50000</v>
      </c>
    </row>
    <row r="36" ht="55.5" customHeight="1" outlineLevel="4" spans="1:8">
      <c r="A36" s="10" t="s">
        <v>902</v>
      </c>
      <c r="B36" s="11" t="s">
        <v>993</v>
      </c>
      <c r="C36" s="11" t="s">
        <v>994</v>
      </c>
      <c r="D36" s="11" t="s">
        <v>995</v>
      </c>
      <c r="E36" s="8" t="s">
        <v>904</v>
      </c>
      <c r="F36" s="12">
        <v>150000</v>
      </c>
      <c r="G36" s="12" t="s">
        <v>907</v>
      </c>
      <c r="H36" s="12">
        <v>150000</v>
      </c>
    </row>
    <row r="37" ht="55.5" customHeight="1" outlineLevel="4" spans="1:8">
      <c r="A37" s="10" t="s">
        <v>902</v>
      </c>
      <c r="B37" s="11" t="s">
        <v>996</v>
      </c>
      <c r="C37" s="11" t="s">
        <v>997</v>
      </c>
      <c r="D37" s="11" t="s">
        <v>998</v>
      </c>
      <c r="E37" s="8" t="s">
        <v>904</v>
      </c>
      <c r="F37" s="12">
        <v>150000</v>
      </c>
      <c r="G37" s="12" t="s">
        <v>907</v>
      </c>
      <c r="H37" s="12">
        <v>150000</v>
      </c>
    </row>
    <row r="38" ht="55.5" customHeight="1" outlineLevel="4" spans="1:8">
      <c r="A38" s="10" t="s">
        <v>902</v>
      </c>
      <c r="B38" s="11" t="s">
        <v>999</v>
      </c>
      <c r="C38" s="11" t="s">
        <v>1000</v>
      </c>
      <c r="D38" s="11" t="s">
        <v>1001</v>
      </c>
      <c r="E38" s="8" t="s">
        <v>904</v>
      </c>
      <c r="F38" s="12">
        <v>150000</v>
      </c>
      <c r="G38" s="12" t="s">
        <v>907</v>
      </c>
      <c r="H38" s="12">
        <v>150000</v>
      </c>
    </row>
    <row r="39" ht="55.5" customHeight="1" outlineLevel="4" spans="1:8">
      <c r="A39" s="10" t="s">
        <v>902</v>
      </c>
      <c r="B39" s="11" t="s">
        <v>1002</v>
      </c>
      <c r="C39" s="11" t="s">
        <v>1003</v>
      </c>
      <c r="D39" s="11" t="s">
        <v>1004</v>
      </c>
      <c r="E39" s="8" t="s">
        <v>904</v>
      </c>
      <c r="F39" s="12">
        <v>150000</v>
      </c>
      <c r="G39" s="12" t="s">
        <v>907</v>
      </c>
      <c r="H39" s="12">
        <v>150000</v>
      </c>
    </row>
    <row r="40" ht="55.5" customHeight="1" outlineLevel="4" spans="1:8">
      <c r="A40" s="10" t="s">
        <v>902</v>
      </c>
      <c r="B40" s="11" t="s">
        <v>1005</v>
      </c>
      <c r="C40" s="11" t="s">
        <v>1006</v>
      </c>
      <c r="D40" s="11" t="s">
        <v>1007</v>
      </c>
      <c r="E40" s="8" t="s">
        <v>904</v>
      </c>
      <c r="F40" s="12">
        <v>200000</v>
      </c>
      <c r="G40" s="12" t="s">
        <v>907</v>
      </c>
      <c r="H40" s="12">
        <v>200000</v>
      </c>
    </row>
    <row r="41" ht="55.5" customHeight="1" outlineLevel="4" spans="1:8">
      <c r="A41" s="10" t="s">
        <v>902</v>
      </c>
      <c r="B41" s="11" t="s">
        <v>1008</v>
      </c>
      <c r="C41" s="11" t="s">
        <v>1009</v>
      </c>
      <c r="D41" s="11" t="s">
        <v>1010</v>
      </c>
      <c r="E41" s="8" t="s">
        <v>904</v>
      </c>
      <c r="F41" s="12">
        <v>150000</v>
      </c>
      <c r="G41" s="12" t="s">
        <v>907</v>
      </c>
      <c r="H41" s="12">
        <v>150000</v>
      </c>
    </row>
    <row r="42" ht="55.5" customHeight="1" outlineLevel="4" spans="1:8">
      <c r="A42" s="10" t="s">
        <v>902</v>
      </c>
      <c r="B42" s="11" t="s">
        <v>1011</v>
      </c>
      <c r="C42" s="11" t="s">
        <v>1012</v>
      </c>
      <c r="D42" s="11" t="s">
        <v>1013</v>
      </c>
      <c r="E42" s="8" t="s">
        <v>904</v>
      </c>
      <c r="F42" s="12">
        <v>100000</v>
      </c>
      <c r="G42" s="12" t="s">
        <v>907</v>
      </c>
      <c r="H42" s="12">
        <v>100000</v>
      </c>
    </row>
    <row r="43" ht="55.5" customHeight="1" outlineLevel="4" spans="1:8">
      <c r="A43" s="10" t="s">
        <v>902</v>
      </c>
      <c r="B43" s="11" t="s">
        <v>1014</v>
      </c>
      <c r="C43" s="11" t="s">
        <v>1015</v>
      </c>
      <c r="D43" s="11" t="s">
        <v>1016</v>
      </c>
      <c r="E43" s="8" t="s">
        <v>904</v>
      </c>
      <c r="F43" s="12">
        <v>300000</v>
      </c>
      <c r="G43" s="12" t="s">
        <v>907</v>
      </c>
      <c r="H43" s="12">
        <v>300000</v>
      </c>
    </row>
    <row r="44" ht="16.5" customHeight="1" outlineLevel="2" spans="1:8">
      <c r="A44" s="10" t="s">
        <v>902</v>
      </c>
      <c r="B44" s="11" t="s">
        <v>32</v>
      </c>
      <c r="C44" s="11" t="s">
        <v>902</v>
      </c>
      <c r="D44" s="11" t="s">
        <v>1017</v>
      </c>
      <c r="E44" s="8" t="s">
        <v>904</v>
      </c>
      <c r="F44" s="12">
        <v>150850000</v>
      </c>
      <c r="G44" s="12" t="s">
        <v>907</v>
      </c>
      <c r="H44" s="12">
        <v>150850000</v>
      </c>
    </row>
    <row r="45" ht="16.5" customHeight="1" outlineLevel="3" spans="1:8">
      <c r="A45" s="10" t="s">
        <v>902</v>
      </c>
      <c r="B45" s="11" t="s">
        <v>35</v>
      </c>
      <c r="C45" s="11" t="s">
        <v>1018</v>
      </c>
      <c r="D45" s="11" t="s">
        <v>1019</v>
      </c>
      <c r="E45" s="8" t="s">
        <v>904</v>
      </c>
      <c r="F45" s="12">
        <v>3000000</v>
      </c>
      <c r="G45" s="12" t="s">
        <v>907</v>
      </c>
      <c r="H45" s="12">
        <v>3000000</v>
      </c>
    </row>
    <row r="46" ht="16.5" customHeight="1" outlineLevel="3" spans="1:8">
      <c r="A46" s="10" t="s">
        <v>902</v>
      </c>
      <c r="B46" s="11" t="s">
        <v>38</v>
      </c>
      <c r="C46" s="11" t="s">
        <v>1020</v>
      </c>
      <c r="D46" s="11" t="s">
        <v>1021</v>
      </c>
      <c r="E46" s="8" t="s">
        <v>904</v>
      </c>
      <c r="F46" s="12">
        <v>3000000</v>
      </c>
      <c r="G46" s="12" t="s">
        <v>907</v>
      </c>
      <c r="H46" s="12">
        <v>3000000</v>
      </c>
    </row>
    <row r="47" ht="16.5" customHeight="1" outlineLevel="3" spans="1:8">
      <c r="A47" s="10" t="s">
        <v>902</v>
      </c>
      <c r="B47" s="11" t="s">
        <v>1022</v>
      </c>
      <c r="C47" s="11" t="s">
        <v>1023</v>
      </c>
      <c r="D47" s="11" t="s">
        <v>1024</v>
      </c>
      <c r="E47" s="8" t="s">
        <v>904</v>
      </c>
      <c r="F47" s="12">
        <v>3000000</v>
      </c>
      <c r="G47" s="12" t="s">
        <v>907</v>
      </c>
      <c r="H47" s="12">
        <v>3000000</v>
      </c>
    </row>
    <row r="48" ht="16.5" customHeight="1" outlineLevel="3" spans="1:8">
      <c r="A48" s="10" t="s">
        <v>902</v>
      </c>
      <c r="B48" s="11" t="s">
        <v>1025</v>
      </c>
      <c r="C48" s="11" t="s">
        <v>1026</v>
      </c>
      <c r="D48" s="11" t="s">
        <v>1027</v>
      </c>
      <c r="E48" s="8" t="s">
        <v>904</v>
      </c>
      <c r="F48" s="12">
        <v>3000000</v>
      </c>
      <c r="G48" s="12" t="s">
        <v>907</v>
      </c>
      <c r="H48" s="12">
        <v>3000000</v>
      </c>
    </row>
    <row r="49" ht="16.5" customHeight="1" outlineLevel="3" spans="1:8">
      <c r="A49" s="10" t="s">
        <v>902</v>
      </c>
      <c r="B49" s="11" t="s">
        <v>1028</v>
      </c>
      <c r="C49" s="11" t="s">
        <v>1029</v>
      </c>
      <c r="D49" s="11" t="s">
        <v>1030</v>
      </c>
      <c r="E49" s="8" t="s">
        <v>904</v>
      </c>
      <c r="F49" s="12">
        <v>3000000</v>
      </c>
      <c r="G49" s="12" t="s">
        <v>907</v>
      </c>
      <c r="H49" s="12">
        <v>3000000</v>
      </c>
    </row>
    <row r="50" ht="16.5" customHeight="1" outlineLevel="3" spans="1:8">
      <c r="A50" s="10" t="s">
        <v>902</v>
      </c>
      <c r="B50" s="11" t="s">
        <v>1031</v>
      </c>
      <c r="C50" s="11" t="s">
        <v>1032</v>
      </c>
      <c r="D50" s="11" t="s">
        <v>1033</v>
      </c>
      <c r="E50" s="8" t="s">
        <v>904</v>
      </c>
      <c r="F50" s="12">
        <v>3000000</v>
      </c>
      <c r="G50" s="12" t="s">
        <v>907</v>
      </c>
      <c r="H50" s="12">
        <v>3000000</v>
      </c>
    </row>
    <row r="51" ht="16.5" customHeight="1" outlineLevel="3" spans="1:8">
      <c r="A51" s="10" t="s">
        <v>902</v>
      </c>
      <c r="B51" s="11" t="s">
        <v>1034</v>
      </c>
      <c r="C51" s="11" t="s">
        <v>1035</v>
      </c>
      <c r="D51" s="11" t="s">
        <v>1036</v>
      </c>
      <c r="E51" s="8" t="s">
        <v>904</v>
      </c>
      <c r="F51" s="12">
        <v>2500000</v>
      </c>
      <c r="G51" s="12" t="s">
        <v>907</v>
      </c>
      <c r="H51" s="12">
        <v>2500000</v>
      </c>
    </row>
    <row r="52" ht="16.5" customHeight="1" outlineLevel="3" spans="1:8">
      <c r="A52" s="10" t="s">
        <v>902</v>
      </c>
      <c r="B52" s="11" t="s">
        <v>1037</v>
      </c>
      <c r="C52" s="11" t="s">
        <v>1038</v>
      </c>
      <c r="D52" s="11" t="s">
        <v>1039</v>
      </c>
      <c r="E52" s="8" t="s">
        <v>904</v>
      </c>
      <c r="F52" s="12">
        <v>5000000</v>
      </c>
      <c r="G52" s="12" t="s">
        <v>907</v>
      </c>
      <c r="H52" s="12">
        <v>5000000</v>
      </c>
    </row>
    <row r="53" ht="16.5" customHeight="1" outlineLevel="3" spans="1:8">
      <c r="A53" s="10" t="s">
        <v>902</v>
      </c>
      <c r="B53" s="11" t="s">
        <v>1040</v>
      </c>
      <c r="C53" s="11" t="s">
        <v>1041</v>
      </c>
      <c r="D53" s="11" t="s">
        <v>1042</v>
      </c>
      <c r="E53" s="8" t="s">
        <v>904</v>
      </c>
      <c r="F53" s="12">
        <v>3000000</v>
      </c>
      <c r="G53" s="12" t="s">
        <v>907</v>
      </c>
      <c r="H53" s="12">
        <v>3000000</v>
      </c>
    </row>
    <row r="54" ht="24" customHeight="1" outlineLevel="3" spans="1:8">
      <c r="A54" s="10" t="s">
        <v>902</v>
      </c>
      <c r="B54" s="11" t="s">
        <v>1043</v>
      </c>
      <c r="C54" s="11" t="s">
        <v>1044</v>
      </c>
      <c r="D54" s="11" t="s">
        <v>1045</v>
      </c>
      <c r="E54" s="8" t="s">
        <v>904</v>
      </c>
      <c r="F54" s="12">
        <v>8000000</v>
      </c>
      <c r="G54" s="12" t="s">
        <v>907</v>
      </c>
      <c r="H54" s="12">
        <v>8000000</v>
      </c>
    </row>
    <row r="55" ht="24" customHeight="1" outlineLevel="3" spans="1:8">
      <c r="A55" s="10" t="s">
        <v>902</v>
      </c>
      <c r="B55" s="11" t="s">
        <v>1046</v>
      </c>
      <c r="C55" s="11" t="s">
        <v>1047</v>
      </c>
      <c r="D55" s="11" t="s">
        <v>1048</v>
      </c>
      <c r="E55" s="8" t="s">
        <v>904</v>
      </c>
      <c r="F55" s="12">
        <v>12000000</v>
      </c>
      <c r="G55" s="12" t="s">
        <v>907</v>
      </c>
      <c r="H55" s="12">
        <v>12000000</v>
      </c>
    </row>
    <row r="56" ht="24" customHeight="1" outlineLevel="3" spans="1:8">
      <c r="A56" s="10" t="s">
        <v>902</v>
      </c>
      <c r="B56" s="11" t="s">
        <v>1049</v>
      </c>
      <c r="C56" s="11" t="s">
        <v>1050</v>
      </c>
      <c r="D56" s="11" t="s">
        <v>1051</v>
      </c>
      <c r="E56" s="8" t="s">
        <v>904</v>
      </c>
      <c r="F56" s="12">
        <v>1000000</v>
      </c>
      <c r="G56" s="12" t="s">
        <v>907</v>
      </c>
      <c r="H56" s="12">
        <v>1000000</v>
      </c>
    </row>
    <row r="57" ht="24" customHeight="1" outlineLevel="3" spans="1:8">
      <c r="A57" s="10" t="s">
        <v>902</v>
      </c>
      <c r="B57" s="11" t="s">
        <v>1052</v>
      </c>
      <c r="C57" s="11" t="s">
        <v>1053</v>
      </c>
      <c r="D57" s="11" t="s">
        <v>1054</v>
      </c>
      <c r="E57" s="8" t="s">
        <v>904</v>
      </c>
      <c r="F57" s="12">
        <v>6000000</v>
      </c>
      <c r="G57" s="12" t="s">
        <v>907</v>
      </c>
      <c r="H57" s="12">
        <v>6000000</v>
      </c>
    </row>
    <row r="58" ht="24" customHeight="1" outlineLevel="3" spans="1:8">
      <c r="A58" s="10" t="s">
        <v>902</v>
      </c>
      <c r="B58" s="11" t="s">
        <v>1055</v>
      </c>
      <c r="C58" s="11" t="s">
        <v>1056</v>
      </c>
      <c r="D58" s="11" t="s">
        <v>1057</v>
      </c>
      <c r="E58" s="8" t="s">
        <v>904</v>
      </c>
      <c r="F58" s="12">
        <v>1000000</v>
      </c>
      <c r="G58" s="12" t="s">
        <v>907</v>
      </c>
      <c r="H58" s="12">
        <v>1000000</v>
      </c>
    </row>
    <row r="59" ht="24" customHeight="1" outlineLevel="3" spans="1:8">
      <c r="A59" s="10" t="s">
        <v>902</v>
      </c>
      <c r="B59" s="11" t="s">
        <v>1058</v>
      </c>
      <c r="C59" s="11" t="s">
        <v>1059</v>
      </c>
      <c r="D59" s="11" t="s">
        <v>1060</v>
      </c>
      <c r="E59" s="8" t="s">
        <v>904</v>
      </c>
      <c r="F59" s="12">
        <v>3360000</v>
      </c>
      <c r="G59" s="12" t="s">
        <v>907</v>
      </c>
      <c r="H59" s="12">
        <v>3360000</v>
      </c>
    </row>
    <row r="60" ht="24" customHeight="1" outlineLevel="3" spans="1:8">
      <c r="A60" s="10" t="s">
        <v>902</v>
      </c>
      <c r="B60" s="11" t="s">
        <v>1061</v>
      </c>
      <c r="C60" s="11" t="s">
        <v>1062</v>
      </c>
      <c r="D60" s="11" t="s">
        <v>1063</v>
      </c>
      <c r="E60" s="8" t="s">
        <v>904</v>
      </c>
      <c r="F60" s="12">
        <v>5000000</v>
      </c>
      <c r="G60" s="12" t="s">
        <v>907</v>
      </c>
      <c r="H60" s="12">
        <v>5000000</v>
      </c>
    </row>
    <row r="61" ht="24" customHeight="1" outlineLevel="3" spans="1:8">
      <c r="A61" s="10" t="s">
        <v>902</v>
      </c>
      <c r="B61" s="11" t="s">
        <v>1064</v>
      </c>
      <c r="C61" s="11" t="s">
        <v>1065</v>
      </c>
      <c r="D61" s="11" t="s">
        <v>1066</v>
      </c>
      <c r="E61" s="8" t="s">
        <v>904</v>
      </c>
      <c r="F61" s="12">
        <v>1000000</v>
      </c>
      <c r="G61" s="12" t="s">
        <v>907</v>
      </c>
      <c r="H61" s="12">
        <v>1000000</v>
      </c>
    </row>
    <row r="62" ht="24" customHeight="1" outlineLevel="3" spans="1:8">
      <c r="A62" s="10" t="s">
        <v>902</v>
      </c>
      <c r="B62" s="11" t="s">
        <v>1067</v>
      </c>
      <c r="C62" s="11" t="s">
        <v>1068</v>
      </c>
      <c r="D62" s="11" t="s">
        <v>1069</v>
      </c>
      <c r="E62" s="8" t="s">
        <v>904</v>
      </c>
      <c r="F62" s="12">
        <v>20910000</v>
      </c>
      <c r="G62" s="12" t="s">
        <v>907</v>
      </c>
      <c r="H62" s="12">
        <v>20910000</v>
      </c>
    </row>
    <row r="63" ht="24" customHeight="1" outlineLevel="3" spans="1:8">
      <c r="A63" s="10" t="s">
        <v>902</v>
      </c>
      <c r="B63" s="11" t="s">
        <v>1070</v>
      </c>
      <c r="C63" s="11" t="s">
        <v>1071</v>
      </c>
      <c r="D63" s="11" t="s">
        <v>1072</v>
      </c>
      <c r="E63" s="8" t="s">
        <v>904</v>
      </c>
      <c r="F63" s="12">
        <v>5200000</v>
      </c>
      <c r="G63" s="12" t="s">
        <v>907</v>
      </c>
      <c r="H63" s="12">
        <v>5200000</v>
      </c>
    </row>
    <row r="64" ht="24" customHeight="1" outlineLevel="3" spans="1:8">
      <c r="A64" s="10" t="s">
        <v>902</v>
      </c>
      <c r="B64" s="11" t="s">
        <v>1073</v>
      </c>
      <c r="C64" s="11" t="s">
        <v>1074</v>
      </c>
      <c r="D64" s="11" t="s">
        <v>1075</v>
      </c>
      <c r="E64" s="8" t="s">
        <v>904</v>
      </c>
      <c r="F64" s="12">
        <v>5160000</v>
      </c>
      <c r="G64" s="12" t="s">
        <v>907</v>
      </c>
      <c r="H64" s="12">
        <v>5160000</v>
      </c>
    </row>
    <row r="65" ht="24" customHeight="1" outlineLevel="3" spans="1:8">
      <c r="A65" s="10" t="s">
        <v>902</v>
      </c>
      <c r="B65" s="11" t="s">
        <v>1076</v>
      </c>
      <c r="C65" s="11" t="s">
        <v>1077</v>
      </c>
      <c r="D65" s="11" t="s">
        <v>1078</v>
      </c>
      <c r="E65" s="8" t="s">
        <v>904</v>
      </c>
      <c r="F65" s="12">
        <v>1000000</v>
      </c>
      <c r="G65" s="12" t="s">
        <v>907</v>
      </c>
      <c r="H65" s="12">
        <v>1000000</v>
      </c>
    </row>
    <row r="66" ht="24" customHeight="1" outlineLevel="3" spans="1:8">
      <c r="A66" s="10" t="s">
        <v>902</v>
      </c>
      <c r="B66" s="11" t="s">
        <v>1079</v>
      </c>
      <c r="C66" s="11" t="s">
        <v>1080</v>
      </c>
      <c r="D66" s="11" t="s">
        <v>1081</v>
      </c>
      <c r="E66" s="8" t="s">
        <v>904</v>
      </c>
      <c r="F66" s="12">
        <v>1000000</v>
      </c>
      <c r="G66" s="12" t="s">
        <v>907</v>
      </c>
      <c r="H66" s="12">
        <v>1000000</v>
      </c>
    </row>
    <row r="67" ht="24" customHeight="1" outlineLevel="3" spans="1:8">
      <c r="A67" s="10" t="s">
        <v>902</v>
      </c>
      <c r="B67" s="11" t="s">
        <v>1082</v>
      </c>
      <c r="C67" s="11" t="s">
        <v>1083</v>
      </c>
      <c r="D67" s="11" t="s">
        <v>1084</v>
      </c>
      <c r="E67" s="8" t="s">
        <v>904</v>
      </c>
      <c r="F67" s="12">
        <v>270000</v>
      </c>
      <c r="G67" s="12" t="s">
        <v>907</v>
      </c>
      <c r="H67" s="12">
        <v>270000</v>
      </c>
    </row>
    <row r="68" ht="24" customHeight="1" outlineLevel="3" spans="1:8">
      <c r="A68" s="10" t="s">
        <v>902</v>
      </c>
      <c r="B68" s="11" t="s">
        <v>1085</v>
      </c>
      <c r="C68" s="11" t="s">
        <v>1086</v>
      </c>
      <c r="D68" s="11" t="s">
        <v>1087</v>
      </c>
      <c r="E68" s="8" t="s">
        <v>904</v>
      </c>
      <c r="F68" s="12">
        <v>1000000</v>
      </c>
      <c r="G68" s="12" t="s">
        <v>907</v>
      </c>
      <c r="H68" s="12">
        <v>1000000</v>
      </c>
    </row>
    <row r="69" ht="24" customHeight="1" outlineLevel="3" spans="1:8">
      <c r="A69" s="10" t="s">
        <v>902</v>
      </c>
      <c r="B69" s="11" t="s">
        <v>1088</v>
      </c>
      <c r="C69" s="11" t="s">
        <v>1089</v>
      </c>
      <c r="D69" s="11" t="s">
        <v>1090</v>
      </c>
      <c r="E69" s="8" t="s">
        <v>904</v>
      </c>
      <c r="F69" s="12">
        <v>7860000</v>
      </c>
      <c r="G69" s="12" t="s">
        <v>907</v>
      </c>
      <c r="H69" s="12">
        <v>7860000</v>
      </c>
    </row>
    <row r="70" ht="24" customHeight="1" outlineLevel="3" spans="1:8">
      <c r="A70" s="10" t="s">
        <v>902</v>
      </c>
      <c r="B70" s="11" t="s">
        <v>1091</v>
      </c>
      <c r="C70" s="11" t="s">
        <v>1092</v>
      </c>
      <c r="D70" s="11" t="s">
        <v>1093</v>
      </c>
      <c r="E70" s="8" t="s">
        <v>904</v>
      </c>
      <c r="F70" s="12">
        <v>3000000</v>
      </c>
      <c r="G70" s="12" t="s">
        <v>907</v>
      </c>
      <c r="H70" s="12">
        <v>3000000</v>
      </c>
    </row>
    <row r="71" ht="24" customHeight="1" outlineLevel="3" spans="1:8">
      <c r="A71" s="10" t="s">
        <v>902</v>
      </c>
      <c r="B71" s="11" t="s">
        <v>1094</v>
      </c>
      <c r="C71" s="11" t="s">
        <v>1095</v>
      </c>
      <c r="D71" s="11" t="s">
        <v>1096</v>
      </c>
      <c r="E71" s="8" t="s">
        <v>904</v>
      </c>
      <c r="F71" s="12">
        <v>6000000</v>
      </c>
      <c r="G71" s="12" t="s">
        <v>907</v>
      </c>
      <c r="H71" s="12">
        <v>6000000</v>
      </c>
    </row>
    <row r="72" ht="24" customHeight="1" outlineLevel="3" spans="1:8">
      <c r="A72" s="10" t="s">
        <v>902</v>
      </c>
      <c r="B72" s="11" t="s">
        <v>1097</v>
      </c>
      <c r="C72" s="11" t="s">
        <v>1098</v>
      </c>
      <c r="D72" s="11" t="s">
        <v>1099</v>
      </c>
      <c r="E72" s="8" t="s">
        <v>904</v>
      </c>
      <c r="F72" s="12">
        <v>4000000</v>
      </c>
      <c r="G72" s="12" t="s">
        <v>907</v>
      </c>
      <c r="H72" s="12">
        <v>4000000</v>
      </c>
    </row>
    <row r="73" ht="24" customHeight="1" outlineLevel="3" spans="1:8">
      <c r="A73" s="10" t="s">
        <v>902</v>
      </c>
      <c r="B73" s="11" t="s">
        <v>1100</v>
      </c>
      <c r="C73" s="11" t="s">
        <v>1101</v>
      </c>
      <c r="D73" s="11" t="s">
        <v>1102</v>
      </c>
      <c r="E73" s="8" t="s">
        <v>904</v>
      </c>
      <c r="F73" s="12">
        <v>10000000</v>
      </c>
      <c r="G73" s="12" t="s">
        <v>907</v>
      </c>
      <c r="H73" s="12">
        <v>10000000</v>
      </c>
    </row>
    <row r="74" ht="24" customHeight="1" outlineLevel="3" spans="1:8">
      <c r="A74" s="10" t="s">
        <v>902</v>
      </c>
      <c r="B74" s="11" t="s">
        <v>1103</v>
      </c>
      <c r="C74" s="11" t="s">
        <v>1104</v>
      </c>
      <c r="D74" s="11" t="s">
        <v>1105</v>
      </c>
      <c r="E74" s="8" t="s">
        <v>904</v>
      </c>
      <c r="F74" s="12">
        <v>11590000</v>
      </c>
      <c r="G74" s="12" t="s">
        <v>907</v>
      </c>
      <c r="H74" s="12">
        <v>11590000</v>
      </c>
    </row>
    <row r="75" ht="24" customHeight="1" outlineLevel="3" spans="1:8">
      <c r="A75" s="10" t="s">
        <v>902</v>
      </c>
      <c r="B75" s="11" t="s">
        <v>1106</v>
      </c>
      <c r="C75" s="11" t="s">
        <v>1107</v>
      </c>
      <c r="D75" s="11" t="s">
        <v>1108</v>
      </c>
      <c r="E75" s="8" t="s">
        <v>904</v>
      </c>
      <c r="F75" s="12">
        <v>8000000</v>
      </c>
      <c r="G75" s="12" t="s">
        <v>907</v>
      </c>
      <c r="H75" s="12">
        <v>8000000</v>
      </c>
    </row>
    <row r="76" ht="66" customHeight="1" outlineLevel="4" spans="1:8">
      <c r="A76" s="10" t="s">
        <v>902</v>
      </c>
      <c r="B76" s="11" t="s">
        <v>1109</v>
      </c>
      <c r="C76" s="11" t="s">
        <v>902</v>
      </c>
      <c r="D76" s="11" t="s">
        <v>1110</v>
      </c>
      <c r="E76" s="8" t="s">
        <v>904</v>
      </c>
      <c r="F76" s="12">
        <v>5000000</v>
      </c>
      <c r="G76" s="12" t="s">
        <v>8</v>
      </c>
      <c r="H76" s="12">
        <v>5000000</v>
      </c>
    </row>
    <row r="77" ht="66" customHeight="1" outlineLevel="4" spans="1:8">
      <c r="A77" s="10" t="s">
        <v>902</v>
      </c>
      <c r="B77" s="11" t="s">
        <v>1111</v>
      </c>
      <c r="C77" s="11" t="s">
        <v>902</v>
      </c>
      <c r="D77" s="11" t="s">
        <v>1112</v>
      </c>
      <c r="E77" s="8" t="s">
        <v>904</v>
      </c>
      <c r="F77" s="12">
        <v>3000000</v>
      </c>
      <c r="G77" s="12" t="s">
        <v>8</v>
      </c>
      <c r="H77" s="12">
        <v>3000000</v>
      </c>
    </row>
  </sheetData>
  <printOptions gridLines="1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3"/>
  <sheetViews>
    <sheetView workbookViewId="0">
      <selection activeCell="H37" sqref="H37"/>
    </sheetView>
  </sheetViews>
  <sheetFormatPr defaultColWidth="9" defaultRowHeight="12" outlineLevelRow="2" outlineLevelCol="5"/>
  <cols>
    <col min="6" max="6" width="13.8888888888889" customWidth="1"/>
  </cols>
  <sheetData>
    <row r="3" spans="1:6">
      <c r="A3" s="1">
        <v>3</v>
      </c>
      <c r="B3" s="2" t="s">
        <v>40</v>
      </c>
      <c r="C3" s="2" t="s">
        <v>41</v>
      </c>
      <c r="D3" s="2"/>
      <c r="E3" s="3"/>
      <c r="F3" s="4">
        <v>161246855.57</v>
      </c>
    </row>
  </sheetData>
  <mergeCells count="1">
    <mergeCell ref="C3:D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费用表【市出资部分】</vt:lpstr>
      <vt:lpstr>分部分项</vt:lpstr>
      <vt:lpstr>措施项目</vt:lpstr>
      <vt:lpstr>增值税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EASON</cp:lastModifiedBy>
  <dcterms:created xsi:type="dcterms:W3CDTF">2026-05-19T09:43:00Z</dcterms:created>
  <dcterms:modified xsi:type="dcterms:W3CDTF">2026-06-04T07:02:25Z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4B503D5E81E14B0CA51ABB5330D87725_13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